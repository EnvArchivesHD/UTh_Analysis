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A:\Github Repos\BachelorGUI\Excels\"/>
    </mc:Choice>
  </mc:AlternateContent>
  <xr:revisionPtr revIDLastSave="0" documentId="13_ncr:1_{C96114A5-02C7-4B6C-80A7-C66259F7D86B}" xr6:coauthVersionLast="46" xr6:coauthVersionMax="46" xr10:uidLastSave="{00000000-0000-0000-0000-000000000000}"/>
  <bookViews>
    <workbookView xWindow="1290" yWindow="5865" windowWidth="25230" windowHeight="9675" xr2:uid="{00000000-000D-0000-FFFF-FFFF00000000}"/>
  </bookViews>
  <sheets>
    <sheet name="Input" sheetId="3" r:id="rId1"/>
    <sheet name="Calc" sheetId="2" r:id="rId2"/>
    <sheet name="results" sheetId="6" r:id="rId3"/>
    <sheet name="Std" sheetId="7" r:id="rId4"/>
    <sheet name="Tabelle1" sheetId="8" r:id="rId5"/>
  </sheets>
  <functionGroups builtInGroupCount="19"/>
  <externalReferences>
    <externalReference r:id="rId6"/>
  </externalReferences>
  <definedNames>
    <definedName name="_xlnm._FilterDatabase" localSheetId="1" hidden="1">Calc!$A$4:$H$5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2" l="1"/>
  <c r="AB10" i="3" l="1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9" i="3"/>
  <c r="BA22" i="2" l="1"/>
  <c r="AZ22" i="2"/>
  <c r="AV22" i="2"/>
  <c r="AD22" i="2"/>
  <c r="X22" i="2"/>
  <c r="Z22" i="2" s="1"/>
  <c r="S22" i="2"/>
  <c r="U22" i="2" s="1"/>
  <c r="E22" i="2"/>
  <c r="G22" i="2" s="1"/>
  <c r="C22" i="2"/>
  <c r="D22" i="2" s="1"/>
  <c r="B22" i="2"/>
  <c r="A22" i="2"/>
  <c r="AF22" i="2" l="1"/>
  <c r="AG22" i="2" s="1"/>
  <c r="J22" i="2"/>
  <c r="V22" i="2"/>
  <c r="AJ22" i="2"/>
  <c r="AA22" i="2"/>
  <c r="H22" i="2"/>
  <c r="O22" i="2"/>
  <c r="BH22" i="2" s="1"/>
  <c r="F22" i="2"/>
  <c r="K22" i="2"/>
  <c r="T22" i="2"/>
  <c r="Y22" i="2"/>
  <c r="AE22" i="2"/>
  <c r="AH22" i="2" l="1"/>
  <c r="L22" i="2"/>
  <c r="M22" i="2" s="1"/>
  <c r="BJ22" i="2"/>
  <c r="BL22" i="2"/>
  <c r="AI22" i="2"/>
  <c r="AK22" i="2"/>
  <c r="Q22" i="2"/>
  <c r="P22" i="2"/>
  <c r="BI22" i="2" s="1"/>
  <c r="BM22" i="2" s="1"/>
  <c r="BN22" i="2" l="1"/>
  <c r="BK22" i="2"/>
  <c r="BO22" i="2" s="1"/>
  <c r="R22" i="2"/>
  <c r="AN22" i="2"/>
  <c r="AL22" i="2"/>
  <c r="AM22" i="2" s="1"/>
  <c r="AS22" i="2"/>
  <c r="AP22" i="2"/>
  <c r="AW22" i="2"/>
  <c r="BD22" i="2" l="1"/>
  <c r="BB22" i="2"/>
  <c r="AO22" i="2"/>
  <c r="AT22" i="2"/>
  <c r="AQ22" i="2"/>
  <c r="AX22" i="2"/>
  <c r="BC22" i="2" l="1"/>
  <c r="AR22" i="2"/>
  <c r="AY22" i="2"/>
  <c r="BF22" i="2" l="1"/>
  <c r="BE22" i="2"/>
  <c r="S25" i="3" l="1"/>
  <c r="U25" i="3"/>
  <c r="W25" i="3"/>
  <c r="Y25" i="3"/>
  <c r="S26" i="3"/>
  <c r="U26" i="3"/>
  <c r="W26" i="3"/>
  <c r="Y26" i="3"/>
  <c r="M25" i="3"/>
  <c r="K25" i="3"/>
  <c r="O25" i="3"/>
  <c r="Q25" i="3"/>
  <c r="K26" i="3"/>
  <c r="M26" i="3"/>
  <c r="O26" i="3"/>
  <c r="Q26" i="3"/>
  <c r="I26" i="3"/>
  <c r="I25" i="3"/>
  <c r="A9" i="2"/>
  <c r="AD8" i="2" l="1"/>
  <c r="X8" i="2" l="1"/>
  <c r="Z8" i="2"/>
  <c r="BA21" i="2"/>
  <c r="AZ21" i="2"/>
  <c r="AV21" i="2"/>
  <c r="AD21" i="2"/>
  <c r="X21" i="2"/>
  <c r="Z21" i="2" s="1"/>
  <c r="S21" i="2"/>
  <c r="E21" i="2"/>
  <c r="G21" i="2" s="1"/>
  <c r="C21" i="2"/>
  <c r="D21" i="2" s="1"/>
  <c r="B21" i="2"/>
  <c r="A21" i="2"/>
  <c r="BA20" i="2"/>
  <c r="AZ20" i="2"/>
  <c r="AV20" i="2"/>
  <c r="AD20" i="2"/>
  <c r="X20" i="2"/>
  <c r="Z20" i="2" s="1"/>
  <c r="S20" i="2"/>
  <c r="U20" i="2" s="1"/>
  <c r="E20" i="2"/>
  <c r="G20" i="2" s="1"/>
  <c r="C20" i="2"/>
  <c r="D20" i="2" s="1"/>
  <c r="B20" i="2"/>
  <c r="A20" i="2"/>
  <c r="BA19" i="2"/>
  <c r="AZ19" i="2"/>
  <c r="AV19" i="2"/>
  <c r="AD19" i="2"/>
  <c r="X19" i="2"/>
  <c r="Z19" i="2" s="1"/>
  <c r="S19" i="2"/>
  <c r="E19" i="2"/>
  <c r="G19" i="2" s="1"/>
  <c r="C19" i="2"/>
  <c r="D19" i="2" s="1"/>
  <c r="B19" i="2"/>
  <c r="A19" i="2"/>
  <c r="BA18" i="2"/>
  <c r="AZ18" i="2"/>
  <c r="AV18" i="2"/>
  <c r="AD18" i="2"/>
  <c r="X18" i="2"/>
  <c r="Y18" i="2" s="1"/>
  <c r="S18" i="2"/>
  <c r="U18" i="2" s="1"/>
  <c r="E18" i="2"/>
  <c r="G18" i="2" s="1"/>
  <c r="C18" i="2"/>
  <c r="D18" i="2" s="1"/>
  <c r="B18" i="2"/>
  <c r="A18" i="2"/>
  <c r="BA17" i="2"/>
  <c r="AZ17" i="2"/>
  <c r="AV17" i="2"/>
  <c r="AD17" i="2"/>
  <c r="X17" i="2"/>
  <c r="Z17" i="2" s="1"/>
  <c r="S17" i="2"/>
  <c r="E17" i="2"/>
  <c r="G17" i="2" s="1"/>
  <c r="C17" i="2"/>
  <c r="D17" i="2" s="1"/>
  <c r="B17" i="2"/>
  <c r="A17" i="2"/>
  <c r="BA16" i="2"/>
  <c r="AZ16" i="2"/>
  <c r="AV16" i="2"/>
  <c r="AD16" i="2"/>
  <c r="X16" i="2"/>
  <c r="Z16" i="2" s="1"/>
  <c r="S16" i="2"/>
  <c r="U16" i="2" s="1"/>
  <c r="E16" i="2"/>
  <c r="G16" i="2" s="1"/>
  <c r="C16" i="2"/>
  <c r="D16" i="2" s="1"/>
  <c r="B16" i="2"/>
  <c r="A16" i="2"/>
  <c r="BA15" i="2"/>
  <c r="AZ15" i="2"/>
  <c r="AV15" i="2"/>
  <c r="AD15" i="2"/>
  <c r="X15" i="2"/>
  <c r="Z15" i="2" s="1"/>
  <c r="S15" i="2"/>
  <c r="E15" i="2"/>
  <c r="G15" i="2" s="1"/>
  <c r="C15" i="2"/>
  <c r="D15" i="2" s="1"/>
  <c r="B15" i="2"/>
  <c r="A15" i="2"/>
  <c r="BA14" i="2"/>
  <c r="AZ14" i="2"/>
  <c r="AV14" i="2"/>
  <c r="AD14" i="2"/>
  <c r="X14" i="2"/>
  <c r="Y14" i="2" s="1"/>
  <c r="S14" i="2"/>
  <c r="U14" i="2" s="1"/>
  <c r="E14" i="2"/>
  <c r="F14" i="2" s="1"/>
  <c r="C14" i="2"/>
  <c r="D14" i="2" s="1"/>
  <c r="B14" i="2"/>
  <c r="A14" i="2"/>
  <c r="BA13" i="2"/>
  <c r="AZ13" i="2"/>
  <c r="AV13" i="2"/>
  <c r="AD13" i="2"/>
  <c r="X13" i="2"/>
  <c r="Z13" i="2" s="1"/>
  <c r="S13" i="2"/>
  <c r="E13" i="2"/>
  <c r="G13" i="2" s="1"/>
  <c r="C13" i="2"/>
  <c r="D13" i="2" s="1"/>
  <c r="B13" i="2"/>
  <c r="A13" i="2"/>
  <c r="BA12" i="2"/>
  <c r="AZ12" i="2"/>
  <c r="AV12" i="2"/>
  <c r="AD12" i="2"/>
  <c r="X12" i="2"/>
  <c r="Z12" i="2" s="1"/>
  <c r="S12" i="2"/>
  <c r="U12" i="2" s="1"/>
  <c r="E12" i="2"/>
  <c r="G12" i="2" s="1"/>
  <c r="C12" i="2"/>
  <c r="D12" i="2" s="1"/>
  <c r="B12" i="2"/>
  <c r="A12" i="2"/>
  <c r="BA11" i="2"/>
  <c r="AZ11" i="2"/>
  <c r="AV11" i="2"/>
  <c r="AD11" i="2"/>
  <c r="X11" i="2"/>
  <c r="Z11" i="2" s="1"/>
  <c r="S11" i="2"/>
  <c r="E11" i="2"/>
  <c r="G11" i="2" s="1"/>
  <c r="C11" i="2"/>
  <c r="D11" i="2" s="1"/>
  <c r="B11" i="2"/>
  <c r="A11" i="2"/>
  <c r="BA10" i="2"/>
  <c r="AZ10" i="2"/>
  <c r="AV10" i="2"/>
  <c r="AD10" i="2"/>
  <c r="X10" i="2"/>
  <c r="Y10" i="2" s="1"/>
  <c r="S10" i="2"/>
  <c r="U10" i="2" s="1"/>
  <c r="E10" i="2"/>
  <c r="G10" i="2" s="1"/>
  <c r="C10" i="2"/>
  <c r="D10" i="2" s="1"/>
  <c r="B10" i="2"/>
  <c r="A10" i="2"/>
  <c r="BA9" i="2"/>
  <c r="AZ9" i="2"/>
  <c r="AV9" i="2"/>
  <c r="AD9" i="2"/>
  <c r="X9" i="2"/>
  <c r="Z9" i="2" s="1"/>
  <c r="S9" i="2"/>
  <c r="E9" i="2"/>
  <c r="G9" i="2" s="1"/>
  <c r="C9" i="2"/>
  <c r="D9" i="2" s="1"/>
  <c r="B9" i="2"/>
  <c r="BA8" i="2"/>
  <c r="AZ8" i="2"/>
  <c r="AV8" i="2"/>
  <c r="AF8" i="2"/>
  <c r="U8" i="2"/>
  <c r="E8" i="2"/>
  <c r="G8" i="2" s="1"/>
  <c r="C8" i="2"/>
  <c r="D8" i="2" s="1"/>
  <c r="B8" i="2"/>
  <c r="A8" i="2"/>
  <c r="J20" i="2" l="1"/>
  <c r="J11" i="2"/>
  <c r="J19" i="2"/>
  <c r="J8" i="2"/>
  <c r="J12" i="2"/>
  <c r="J16" i="2"/>
  <c r="J15" i="2"/>
  <c r="AF10" i="2"/>
  <c r="AG10" i="2" s="1"/>
  <c r="AF14" i="2"/>
  <c r="AG14" i="2" s="1"/>
  <c r="AF18" i="2"/>
  <c r="AG18" i="2" s="1"/>
  <c r="J10" i="2"/>
  <c r="J14" i="2"/>
  <c r="J18" i="2"/>
  <c r="J9" i="2"/>
  <c r="K9" i="2" s="1"/>
  <c r="AF12" i="2"/>
  <c r="AG12" i="2" s="1"/>
  <c r="J13" i="2"/>
  <c r="K13" i="2" s="1"/>
  <c r="AF16" i="2"/>
  <c r="AH16" i="2" s="1"/>
  <c r="J17" i="2"/>
  <c r="AF20" i="2"/>
  <c r="AG20" i="2" s="1"/>
  <c r="U21" i="2"/>
  <c r="V21" i="2" s="1"/>
  <c r="AF19" i="2"/>
  <c r="AH19" i="2" s="1"/>
  <c r="AF17" i="2"/>
  <c r="AH17" i="2" s="1"/>
  <c r="AF15" i="2"/>
  <c r="AH15" i="2" s="1"/>
  <c r="AF13" i="2"/>
  <c r="AH13" i="2" s="1"/>
  <c r="AF11" i="2"/>
  <c r="AG11" i="2" s="1"/>
  <c r="AF9" i="2"/>
  <c r="AG9" i="2" s="1"/>
  <c r="AF21" i="2"/>
  <c r="AG21" i="2" s="1"/>
  <c r="J21" i="2"/>
  <c r="AA20" i="2"/>
  <c r="H21" i="2"/>
  <c r="O21" i="2"/>
  <c r="BH21" i="2" s="1"/>
  <c r="H20" i="2"/>
  <c r="O20" i="2"/>
  <c r="BH20" i="2" s="1"/>
  <c r="V20" i="2"/>
  <c r="AJ20" i="2"/>
  <c r="AA21" i="2"/>
  <c r="F20" i="2"/>
  <c r="K20" i="2"/>
  <c r="T20" i="2"/>
  <c r="Y20" i="2"/>
  <c r="AE20" i="2"/>
  <c r="F21" i="2"/>
  <c r="T21" i="2"/>
  <c r="Y21" i="2"/>
  <c r="AE21" i="2"/>
  <c r="U19" i="2"/>
  <c r="AJ19" i="2" s="1"/>
  <c r="H19" i="2"/>
  <c r="O19" i="2"/>
  <c r="BH19" i="2" s="1"/>
  <c r="H18" i="2"/>
  <c r="O18" i="2"/>
  <c r="BH18" i="2" s="1"/>
  <c r="V18" i="2"/>
  <c r="AJ18" i="2"/>
  <c r="AA19" i="2"/>
  <c r="F18" i="2"/>
  <c r="T18" i="2"/>
  <c r="AE18" i="2"/>
  <c r="F19" i="2"/>
  <c r="T19" i="2"/>
  <c r="Y19" i="2"/>
  <c r="AE19" i="2"/>
  <c r="U17" i="2"/>
  <c r="AJ17" i="2" s="1"/>
  <c r="Z18" i="2"/>
  <c r="AA16" i="2"/>
  <c r="H17" i="2"/>
  <c r="O17" i="2"/>
  <c r="BH17" i="2" s="1"/>
  <c r="H16" i="2"/>
  <c r="O16" i="2"/>
  <c r="BH16" i="2" s="1"/>
  <c r="AG16" i="2"/>
  <c r="V16" i="2"/>
  <c r="AJ16" i="2"/>
  <c r="AA17" i="2"/>
  <c r="F16" i="2"/>
  <c r="T16" i="2"/>
  <c r="Y16" i="2"/>
  <c r="AE16" i="2"/>
  <c r="F17" i="2"/>
  <c r="T17" i="2"/>
  <c r="Y17" i="2"/>
  <c r="AE17" i="2"/>
  <c r="U15" i="2"/>
  <c r="V15" i="2" s="1"/>
  <c r="H15" i="2"/>
  <c r="O15" i="2"/>
  <c r="BH15" i="2" s="1"/>
  <c r="V14" i="2"/>
  <c r="AJ14" i="2"/>
  <c r="AA15" i="2"/>
  <c r="T14" i="2"/>
  <c r="AE14" i="2"/>
  <c r="F15" i="2"/>
  <c r="K15" i="2"/>
  <c r="T15" i="2"/>
  <c r="Y15" i="2"/>
  <c r="AE15" i="2"/>
  <c r="G14" i="2"/>
  <c r="Z14" i="2"/>
  <c r="H12" i="2"/>
  <c r="O12" i="2"/>
  <c r="BH12" i="2" s="1"/>
  <c r="U13" i="2"/>
  <c r="AA12" i="2"/>
  <c r="H13" i="2"/>
  <c r="O13" i="2"/>
  <c r="BH13" i="2" s="1"/>
  <c r="V12" i="2"/>
  <c r="AJ12" i="2"/>
  <c r="AA13" i="2"/>
  <c r="F12" i="2"/>
  <c r="T12" i="2"/>
  <c r="Y12" i="2"/>
  <c r="AE12" i="2"/>
  <c r="F13" i="2"/>
  <c r="T13" i="2"/>
  <c r="Y13" i="2"/>
  <c r="AE13" i="2"/>
  <c r="U11" i="2"/>
  <c r="AJ11" i="2" s="1"/>
  <c r="H11" i="2"/>
  <c r="O11" i="2"/>
  <c r="BH11" i="2" s="1"/>
  <c r="H10" i="2"/>
  <c r="O10" i="2"/>
  <c r="BH10" i="2" s="1"/>
  <c r="V10" i="2"/>
  <c r="AJ10" i="2"/>
  <c r="AA11" i="2"/>
  <c r="F10" i="2"/>
  <c r="T10" i="2"/>
  <c r="AE10" i="2"/>
  <c r="F11" i="2"/>
  <c r="K11" i="2"/>
  <c r="T11" i="2"/>
  <c r="Y11" i="2"/>
  <c r="AE11" i="2"/>
  <c r="U9" i="2"/>
  <c r="AJ9" i="2" s="1"/>
  <c r="Z10" i="2"/>
  <c r="AA8" i="2"/>
  <c r="H9" i="2"/>
  <c r="O9" i="2"/>
  <c r="BH9" i="2" s="1"/>
  <c r="H8" i="2"/>
  <c r="O8" i="2"/>
  <c r="BH8" i="2" s="1"/>
  <c r="AG8" i="2"/>
  <c r="AH8" i="2"/>
  <c r="V8" i="2"/>
  <c r="AJ8" i="2"/>
  <c r="AA9" i="2"/>
  <c r="F8" i="2"/>
  <c r="T8" i="2"/>
  <c r="Y8" i="2"/>
  <c r="AE8" i="2"/>
  <c r="F9" i="2"/>
  <c r="T9" i="2"/>
  <c r="Y9" i="2"/>
  <c r="AE9" i="2"/>
  <c r="BJ21" i="2" l="1"/>
  <c r="BJ16" i="2"/>
  <c r="BJ11" i="2"/>
  <c r="BJ19" i="2"/>
  <c r="BJ10" i="2"/>
  <c r="BJ15" i="2"/>
  <c r="K21" i="2"/>
  <c r="BJ17" i="2"/>
  <c r="BJ9" i="2"/>
  <c r="L15" i="2"/>
  <c r="M15" i="2" s="1"/>
  <c r="L19" i="2"/>
  <c r="M19" i="2" s="1"/>
  <c r="BJ18" i="2"/>
  <c r="BJ12" i="2"/>
  <c r="BJ20" i="2"/>
  <c r="L11" i="2"/>
  <c r="M11" i="2" s="1"/>
  <c r="BJ13" i="2"/>
  <c r="BJ8" i="2"/>
  <c r="BN8" i="2" s="1"/>
  <c r="BL21" i="2"/>
  <c r="L21" i="2"/>
  <c r="M21" i="2" s="1"/>
  <c r="L10" i="2"/>
  <c r="M10" i="2" s="1"/>
  <c r="K19" i="2"/>
  <c r="K17" i="2"/>
  <c r="L9" i="2"/>
  <c r="M9" i="2" s="1"/>
  <c r="K16" i="2"/>
  <c r="L18" i="2"/>
  <c r="M18" i="2" s="1"/>
  <c r="K12" i="2"/>
  <c r="L20" i="2"/>
  <c r="M20" i="2" s="1"/>
  <c r="L13" i="2"/>
  <c r="M13" i="2" s="1"/>
  <c r="L8" i="2"/>
  <c r="M8" i="2" s="1"/>
  <c r="K8" i="2"/>
  <c r="AH12" i="2"/>
  <c r="AI12" i="2" s="1"/>
  <c r="AH20" i="2"/>
  <c r="AI20" i="2" s="1"/>
  <c r="L16" i="2"/>
  <c r="M16" i="2" s="1"/>
  <c r="AI16" i="2"/>
  <c r="L12" i="2"/>
  <c r="M12" i="2" s="1"/>
  <c r="AJ21" i="2"/>
  <c r="BL20" i="2"/>
  <c r="AH10" i="2"/>
  <c r="V11" i="2"/>
  <c r="AK11" i="2" s="1"/>
  <c r="BL12" i="2"/>
  <c r="AH11" i="2"/>
  <c r="AI11" i="2" s="1"/>
  <c r="V19" i="2"/>
  <c r="L17" i="2"/>
  <c r="M17" i="2" s="1"/>
  <c r="K10" i="2"/>
  <c r="Q8" i="2"/>
  <c r="L14" i="2"/>
  <c r="M14" i="2" s="1"/>
  <c r="BL18" i="2"/>
  <c r="BL10" i="2"/>
  <c r="AI8" i="2"/>
  <c r="AH21" i="2"/>
  <c r="AI21" i="2" s="1"/>
  <c r="K14" i="2"/>
  <c r="K18" i="2"/>
  <c r="AG19" i="2"/>
  <c r="AI19" i="2" s="1"/>
  <c r="AG15" i="2"/>
  <c r="AI15" i="2" s="1"/>
  <c r="AG17" i="2"/>
  <c r="AI17" i="2" s="1"/>
  <c r="AG13" i="2"/>
  <c r="AI13" i="2" s="1"/>
  <c r="AH9" i="2"/>
  <c r="AI9" i="2" s="1"/>
  <c r="BL17" i="2"/>
  <c r="BL15" i="2"/>
  <c r="BL13" i="2"/>
  <c r="BL11" i="2"/>
  <c r="BL9" i="2"/>
  <c r="AK20" i="2"/>
  <c r="Q21" i="2"/>
  <c r="P21" i="2"/>
  <c r="BI21" i="2" s="1"/>
  <c r="BM21" i="2" s="1"/>
  <c r="Q20" i="2"/>
  <c r="P20" i="2"/>
  <c r="AK21" i="2"/>
  <c r="V17" i="2"/>
  <c r="AK17" i="2" s="1"/>
  <c r="Q18" i="2"/>
  <c r="AS18" i="2" s="1"/>
  <c r="P18" i="2"/>
  <c r="BI18" i="2" s="1"/>
  <c r="BM18" i="2" s="1"/>
  <c r="AA18" i="2"/>
  <c r="AH18" i="2"/>
  <c r="Q19" i="2"/>
  <c r="P19" i="2"/>
  <c r="AK18" i="2"/>
  <c r="AK19" i="2"/>
  <c r="AJ15" i="2"/>
  <c r="AK16" i="2"/>
  <c r="Q17" i="2"/>
  <c r="P17" i="2"/>
  <c r="BI17" i="2" s="1"/>
  <c r="BM17" i="2" s="1"/>
  <c r="Q16" i="2"/>
  <c r="P16" i="2"/>
  <c r="AA14" i="2"/>
  <c r="AK15" i="2"/>
  <c r="H14" i="2"/>
  <c r="O14" i="2"/>
  <c r="BH14" i="2" s="1"/>
  <c r="AK14" i="2"/>
  <c r="Q15" i="2"/>
  <c r="P15" i="2"/>
  <c r="BI15" i="2" s="1"/>
  <c r="BM15" i="2" s="1"/>
  <c r="AH14" i="2"/>
  <c r="AK12" i="2"/>
  <c r="Q13" i="2"/>
  <c r="P13" i="2"/>
  <c r="BI13" i="2" s="1"/>
  <c r="BM13" i="2" s="1"/>
  <c r="V13" i="2"/>
  <c r="AJ13" i="2"/>
  <c r="Q12" i="2"/>
  <c r="P12" i="2"/>
  <c r="BI12" i="2" s="1"/>
  <c r="BM12" i="2" s="1"/>
  <c r="V9" i="2"/>
  <c r="AK9" i="2" s="1"/>
  <c r="Q10" i="2"/>
  <c r="P10" i="2"/>
  <c r="BI10" i="2" s="1"/>
  <c r="BM10" i="2" s="1"/>
  <c r="AK10" i="2"/>
  <c r="AA10" i="2"/>
  <c r="AI10" i="2" s="1"/>
  <c r="Q11" i="2"/>
  <c r="P11" i="2"/>
  <c r="BI11" i="2" s="1"/>
  <c r="BM11" i="2" s="1"/>
  <c r="Q9" i="2"/>
  <c r="P9" i="2"/>
  <c r="BI9" i="2" s="1"/>
  <c r="BM9" i="2" s="1"/>
  <c r="AK8" i="2"/>
  <c r="P8" i="2"/>
  <c r="BJ14" i="2" l="1"/>
  <c r="BN13" i="2"/>
  <c r="BK13" i="2"/>
  <c r="BK12" i="2"/>
  <c r="BO12" i="2" s="1"/>
  <c r="BN12" i="2"/>
  <c r="BK11" i="2"/>
  <c r="BO11" i="2" s="1"/>
  <c r="BN11" i="2"/>
  <c r="BN21" i="2"/>
  <c r="BK21" i="2"/>
  <c r="BO21" i="2" s="1"/>
  <c r="BK16" i="2"/>
  <c r="BO16" i="2" s="1"/>
  <c r="BN16" i="2"/>
  <c r="BK17" i="2"/>
  <c r="BO17" i="2" s="1"/>
  <c r="BN17" i="2"/>
  <c r="BN15" i="2"/>
  <c r="BK15" i="2"/>
  <c r="BO15" i="2" s="1"/>
  <c r="BK20" i="2"/>
  <c r="BO20" i="2" s="1"/>
  <c r="BN20" i="2"/>
  <c r="BN18" i="2"/>
  <c r="BK18" i="2"/>
  <c r="BN10" i="2"/>
  <c r="BK10" i="2"/>
  <c r="BO10" i="2" s="1"/>
  <c r="BK9" i="2"/>
  <c r="BO9" i="2" s="1"/>
  <c r="BN9" i="2"/>
  <c r="BN19" i="2"/>
  <c r="BK19" i="2"/>
  <c r="BO19" i="2" s="1"/>
  <c r="AI18" i="2"/>
  <c r="BO18" i="2"/>
  <c r="BK8" i="2"/>
  <c r="BO8" i="2" s="1"/>
  <c r="AI14" i="2"/>
  <c r="BL19" i="2"/>
  <c r="BI19" i="2"/>
  <c r="BM19" i="2" s="1"/>
  <c r="BL14" i="2"/>
  <c r="BI16" i="2"/>
  <c r="BM16" i="2" s="1"/>
  <c r="BL16" i="2"/>
  <c r="BI20" i="2"/>
  <c r="BM20" i="2" s="1"/>
  <c r="BL8" i="2"/>
  <c r="BI8" i="2"/>
  <c r="BM8" i="2" s="1"/>
  <c r="BO13" i="2"/>
  <c r="R21" i="2"/>
  <c r="AL21" i="2"/>
  <c r="AS21" i="2"/>
  <c r="R20" i="2"/>
  <c r="AN20" i="2"/>
  <c r="AS20" i="2"/>
  <c r="AL20" i="2"/>
  <c r="R19" i="2"/>
  <c r="AS19" i="2"/>
  <c r="AL19" i="2"/>
  <c r="AT18" i="2"/>
  <c r="R18" i="2"/>
  <c r="AL18" i="2"/>
  <c r="AN18" i="2"/>
  <c r="R17" i="2"/>
  <c r="AL17" i="2"/>
  <c r="AS17" i="2"/>
  <c r="R16" i="2"/>
  <c r="AS16" i="2"/>
  <c r="AL16" i="2"/>
  <c r="AN16" i="2"/>
  <c r="R15" i="2"/>
  <c r="AL15" i="2"/>
  <c r="AS15" i="2"/>
  <c r="P14" i="2"/>
  <c r="BI14" i="2" s="1"/>
  <c r="BM14" i="2" s="1"/>
  <c r="Q14" i="2"/>
  <c r="R13" i="2"/>
  <c r="AS13" i="2"/>
  <c r="AL13" i="2"/>
  <c r="R12" i="2"/>
  <c r="AN12" i="2"/>
  <c r="AL12" i="2"/>
  <c r="AS12" i="2"/>
  <c r="AK13" i="2"/>
  <c r="R10" i="2"/>
  <c r="AN10" i="2"/>
  <c r="AL10" i="2"/>
  <c r="R11" i="2"/>
  <c r="AS11" i="2"/>
  <c r="AL11" i="2"/>
  <c r="AS10" i="2"/>
  <c r="R9" i="2"/>
  <c r="AS9" i="2"/>
  <c r="AL9" i="2"/>
  <c r="R8" i="2"/>
  <c r="AS8" i="2"/>
  <c r="AL8" i="2"/>
  <c r="AN8" i="2"/>
  <c r="AW8" i="2"/>
  <c r="AP20" i="2"/>
  <c r="AW12" i="2"/>
  <c r="AP10" i="2"/>
  <c r="AP8" i="2"/>
  <c r="AP18" i="2"/>
  <c r="AW20" i="2"/>
  <c r="AP16" i="2"/>
  <c r="AW18" i="2"/>
  <c r="AW16" i="2"/>
  <c r="AP12" i="2"/>
  <c r="AW10" i="2"/>
  <c r="BN14" i="2" l="1"/>
  <c r="BK14" i="2"/>
  <c r="BO14" i="2" s="1"/>
  <c r="AM10" i="2"/>
  <c r="AM18" i="2"/>
  <c r="BD20" i="2"/>
  <c r="BB20" i="2"/>
  <c r="AT21" i="2"/>
  <c r="AT20" i="2"/>
  <c r="AN21" i="2"/>
  <c r="AM21" i="2"/>
  <c r="AM20" i="2"/>
  <c r="AO20" i="2"/>
  <c r="BD18" i="2"/>
  <c r="BB18" i="2"/>
  <c r="AN19" i="2"/>
  <c r="AM19" i="2"/>
  <c r="AT19" i="2"/>
  <c r="AO18" i="2"/>
  <c r="AY18" i="2" s="1"/>
  <c r="BD16" i="2"/>
  <c r="BB16" i="2"/>
  <c r="AO16" i="2"/>
  <c r="AT17" i="2"/>
  <c r="AM16" i="2"/>
  <c r="AN17" i="2"/>
  <c r="AM17" i="2"/>
  <c r="AT16" i="2"/>
  <c r="AT15" i="2"/>
  <c r="AM15" i="2"/>
  <c r="R14" i="2"/>
  <c r="AN14" i="2"/>
  <c r="AN15" i="2" s="1"/>
  <c r="AL14" i="2"/>
  <c r="AS14" i="2"/>
  <c r="BD12" i="2"/>
  <c r="BB12" i="2"/>
  <c r="AT12" i="2"/>
  <c r="AM13" i="2"/>
  <c r="AM12" i="2"/>
  <c r="AT13" i="2"/>
  <c r="AO12" i="2"/>
  <c r="BD10" i="2"/>
  <c r="BB10" i="2"/>
  <c r="AT10" i="2"/>
  <c r="AN11" i="2"/>
  <c r="AM11" i="2"/>
  <c r="AO10" i="2"/>
  <c r="AT11" i="2"/>
  <c r="BD8" i="2"/>
  <c r="BB8" i="2"/>
  <c r="AO8" i="2"/>
  <c r="AN9" i="2"/>
  <c r="AM9" i="2"/>
  <c r="AM8" i="2"/>
  <c r="AT9" i="2"/>
  <c r="AT8" i="2"/>
  <c r="AX18" i="2"/>
  <c r="AW19" i="2"/>
  <c r="AX16" i="2"/>
  <c r="AQ12" i="2"/>
  <c r="AP19" i="2"/>
  <c r="AQ20" i="2"/>
  <c r="AP21" i="2"/>
  <c r="AX10" i="2"/>
  <c r="AP15" i="2"/>
  <c r="AW11" i="2"/>
  <c r="AW15" i="2"/>
  <c r="AW9" i="2"/>
  <c r="AW21" i="2"/>
  <c r="AP14" i="2"/>
  <c r="AW14" i="2"/>
  <c r="AQ16" i="2"/>
  <c r="AW17" i="2"/>
  <c r="AQ18" i="2"/>
  <c r="AX20" i="2"/>
  <c r="AX8" i="2"/>
  <c r="AQ8" i="2"/>
  <c r="AQ10" i="2"/>
  <c r="AX12" i="2"/>
  <c r="AP11" i="2"/>
  <c r="AP17" i="2"/>
  <c r="AP9" i="2"/>
  <c r="AY20" i="2" l="1"/>
  <c r="BF20" i="2" s="1"/>
  <c r="AY12" i="2"/>
  <c r="BE12" i="2" s="1"/>
  <c r="AN13" i="2"/>
  <c r="AR20" i="2"/>
  <c r="BC20" i="2"/>
  <c r="BD21" i="2"/>
  <c r="BB21" i="2"/>
  <c r="AO21" i="2"/>
  <c r="AY21" i="2" s="1"/>
  <c r="AR18" i="2"/>
  <c r="BC18" i="2"/>
  <c r="BD19" i="2"/>
  <c r="BB19" i="2"/>
  <c r="BF18" i="2"/>
  <c r="BE18" i="2"/>
  <c r="AO19" i="2"/>
  <c r="AY19" i="2" s="1"/>
  <c r="BD17" i="2"/>
  <c r="BB17" i="2"/>
  <c r="BC16" i="2"/>
  <c r="AR16" i="2"/>
  <c r="AO17" i="2"/>
  <c r="AY16" i="2"/>
  <c r="BD15" i="2"/>
  <c r="BB15" i="2"/>
  <c r="BD14" i="2"/>
  <c r="BB14" i="2"/>
  <c r="AO15" i="2"/>
  <c r="AY15" i="2" s="1"/>
  <c r="AT14" i="2"/>
  <c r="AM14" i="2"/>
  <c r="AO14" i="2"/>
  <c r="AR12" i="2"/>
  <c r="BC12" i="2"/>
  <c r="AO13" i="2"/>
  <c r="BD11" i="2"/>
  <c r="BB11" i="2"/>
  <c r="AR10" i="2"/>
  <c r="BC10" i="2"/>
  <c r="AO11" i="2"/>
  <c r="AY10" i="2"/>
  <c r="BC8" i="2"/>
  <c r="BD9" i="2"/>
  <c r="BB9" i="2"/>
  <c r="AR8" i="2"/>
  <c r="AO9" i="2"/>
  <c r="AY8" i="2"/>
  <c r="AQ11" i="2"/>
  <c r="AQ9" i="2"/>
  <c r="AQ21" i="2"/>
  <c r="AX14" i="2"/>
  <c r="AX13" i="2"/>
  <c r="AQ13" i="2"/>
  <c r="AQ19" i="2"/>
  <c r="AX19" i="2"/>
  <c r="AQ15" i="2"/>
  <c r="AQ17" i="2"/>
  <c r="AQ14" i="2"/>
  <c r="AX17" i="2"/>
  <c r="AW13" i="2"/>
  <c r="AX15" i="2"/>
  <c r="AX9" i="2"/>
  <c r="AP13" i="2"/>
  <c r="AX21" i="2"/>
  <c r="AX11" i="2"/>
  <c r="BF12" i="2" l="1"/>
  <c r="BE20" i="2"/>
  <c r="BD13" i="2"/>
  <c r="BB13" i="2"/>
  <c r="AY13" i="2"/>
  <c r="BF13" i="2" s="1"/>
  <c r="AR21" i="2"/>
  <c r="BC21" i="2"/>
  <c r="BF21" i="2"/>
  <c r="BE21" i="2"/>
  <c r="AR19" i="2"/>
  <c r="BC19" i="2"/>
  <c r="BF19" i="2"/>
  <c r="BE19" i="2"/>
  <c r="AR17" i="2"/>
  <c r="BC17" i="2"/>
  <c r="BF16" i="2"/>
  <c r="BE16" i="2"/>
  <c r="AY17" i="2"/>
  <c r="AR14" i="2"/>
  <c r="BC14" i="2"/>
  <c r="AR15" i="2"/>
  <c r="BC15" i="2"/>
  <c r="BF15" i="2"/>
  <c r="BE15" i="2"/>
  <c r="AY14" i="2"/>
  <c r="AR13" i="2"/>
  <c r="BC13" i="2"/>
  <c r="AR11" i="2"/>
  <c r="BC11" i="2"/>
  <c r="AY11" i="2"/>
  <c r="BF10" i="2"/>
  <c r="BE10" i="2"/>
  <c r="AR9" i="2"/>
  <c r="BC9" i="2"/>
  <c r="BF8" i="2"/>
  <c r="BE8" i="2"/>
  <c r="AY9" i="2"/>
  <c r="BE13" i="2" l="1"/>
  <c r="BF17" i="2"/>
  <c r="BE17" i="2"/>
  <c r="BF14" i="2"/>
  <c r="BE14" i="2"/>
  <c r="BF11" i="2"/>
  <c r="BE11" i="2"/>
  <c r="BF9" i="2"/>
  <c r="BE9" i="2"/>
  <c r="D39" i="8" l="1"/>
  <c r="AC39" i="8" s="1"/>
  <c r="C39" i="8"/>
  <c r="S47" i="6"/>
  <c r="B47" i="6"/>
  <c r="A47" i="6"/>
  <c r="S46" i="6"/>
  <c r="B46" i="6"/>
  <c r="B39" i="8" s="1"/>
  <c r="A46" i="6"/>
  <c r="A39" i="8" s="1"/>
  <c r="F46" i="6"/>
  <c r="H39" i="8" s="1"/>
  <c r="S45" i="6"/>
  <c r="B45" i="6"/>
  <c r="A45" i="6"/>
  <c r="S44" i="6"/>
  <c r="B44" i="6"/>
  <c r="B37" i="8" s="1"/>
  <c r="A44" i="6"/>
  <c r="A37" i="8" s="1"/>
  <c r="S43" i="6"/>
  <c r="B43" i="6"/>
  <c r="A43" i="6"/>
  <c r="S42" i="6"/>
  <c r="B42" i="6"/>
  <c r="B35" i="8" s="1"/>
  <c r="A42" i="6"/>
  <c r="A35" i="8" s="1"/>
  <c r="S41" i="6"/>
  <c r="B41" i="6"/>
  <c r="A41" i="6"/>
  <c r="S40" i="6"/>
  <c r="E40" i="6"/>
  <c r="B40" i="6"/>
  <c r="A40" i="6"/>
  <c r="A33" i="8" s="1"/>
  <c r="S39" i="6"/>
  <c r="B39" i="6"/>
  <c r="A39" i="6"/>
  <c r="S38" i="6"/>
  <c r="B38" i="6"/>
  <c r="B31" i="8" s="1"/>
  <c r="A38" i="6"/>
  <c r="A31" i="8" s="1"/>
  <c r="S37" i="6"/>
  <c r="F37" i="6"/>
  <c r="E37" i="6"/>
  <c r="B37" i="6"/>
  <c r="A37" i="6"/>
  <c r="S36" i="6"/>
  <c r="B36" i="6"/>
  <c r="B29" i="8" s="1"/>
  <c r="A36" i="6"/>
  <c r="A29" i="8" s="1"/>
  <c r="S35" i="6"/>
  <c r="B35" i="6"/>
  <c r="A35" i="6"/>
  <c r="S34" i="6"/>
  <c r="B34" i="6"/>
  <c r="B27" i="8" s="1"/>
  <c r="A34" i="6"/>
  <c r="A27" i="8" s="1"/>
  <c r="S33" i="6"/>
  <c r="B33" i="6"/>
  <c r="A33" i="6"/>
  <c r="S32" i="6"/>
  <c r="F32" i="6"/>
  <c r="B32" i="6"/>
  <c r="B25" i="8" s="1"/>
  <c r="A32" i="6"/>
  <c r="S31" i="6"/>
  <c r="B31" i="6"/>
  <c r="A31" i="6"/>
  <c r="S30" i="6"/>
  <c r="B30" i="6"/>
  <c r="B23" i="8" s="1"/>
  <c r="A30" i="6"/>
  <c r="A23" i="8" s="1"/>
  <c r="S29" i="6"/>
  <c r="B29" i="6"/>
  <c r="A29" i="6"/>
  <c r="S28" i="6"/>
  <c r="B28" i="6"/>
  <c r="B21" i="8" s="1"/>
  <c r="A28" i="6"/>
  <c r="A21" i="8" s="1"/>
  <c r="S27" i="6"/>
  <c r="B27" i="6"/>
  <c r="A27" i="6"/>
  <c r="S26" i="6"/>
  <c r="B26" i="6"/>
  <c r="B19" i="8" s="1"/>
  <c r="A26" i="6"/>
  <c r="A19" i="8" s="1"/>
  <c r="S25" i="6"/>
  <c r="B25" i="6"/>
  <c r="A25" i="6"/>
  <c r="S24" i="6"/>
  <c r="B24" i="6"/>
  <c r="B17" i="8" s="1"/>
  <c r="A24" i="6"/>
  <c r="A17" i="8" s="1"/>
  <c r="S23" i="6"/>
  <c r="B23" i="6"/>
  <c r="A23" i="6"/>
  <c r="S22" i="6"/>
  <c r="B22" i="6"/>
  <c r="A22" i="6"/>
  <c r="D37" i="8"/>
  <c r="AC37" i="8" s="1"/>
  <c r="C37" i="8"/>
  <c r="D35" i="8"/>
  <c r="AC35" i="8" s="1"/>
  <c r="C35" i="8"/>
  <c r="D33" i="8"/>
  <c r="AC33" i="8" s="1"/>
  <c r="C33" i="8"/>
  <c r="B33" i="8"/>
  <c r="D31" i="8"/>
  <c r="AC31" i="8" s="1"/>
  <c r="C31" i="8"/>
  <c r="D29" i="8"/>
  <c r="AC29" i="8" s="1"/>
  <c r="C29" i="8"/>
  <c r="D27" i="8"/>
  <c r="AC27" i="8" s="1"/>
  <c r="C27" i="8"/>
  <c r="D25" i="8"/>
  <c r="AC25" i="8" s="1"/>
  <c r="C25" i="8"/>
  <c r="A25" i="8"/>
  <c r="D23" i="8"/>
  <c r="AC23" i="8" s="1"/>
  <c r="C23" i="8"/>
  <c r="D21" i="8"/>
  <c r="AC21" i="8" s="1"/>
  <c r="C21" i="8"/>
  <c r="D19" i="8"/>
  <c r="AC19" i="8" s="1"/>
  <c r="C19" i="8"/>
  <c r="D17" i="8"/>
  <c r="AC17" i="8" s="1"/>
  <c r="C17" i="8"/>
  <c r="C7" i="8"/>
  <c r="D7" i="8"/>
  <c r="AC7" i="8" s="1"/>
  <c r="C9" i="8"/>
  <c r="D9" i="8"/>
  <c r="AC9" i="8" s="1"/>
  <c r="C11" i="8"/>
  <c r="D11" i="8"/>
  <c r="AC11" i="8" s="1"/>
  <c r="D5" i="8"/>
  <c r="AC5" i="8" s="1"/>
  <c r="C5" i="8"/>
  <c r="D3" i="8"/>
  <c r="AC3" i="8" s="1"/>
  <c r="C3" i="8"/>
  <c r="U2" i="8"/>
  <c r="T2" i="8"/>
  <c r="R2" i="8"/>
  <c r="Q2" i="8"/>
  <c r="P2" i="8"/>
  <c r="O2" i="8"/>
  <c r="L2" i="8"/>
  <c r="K2" i="8"/>
  <c r="J2" i="8"/>
  <c r="I2" i="8"/>
  <c r="H2" i="8"/>
  <c r="G2" i="8"/>
  <c r="F2" i="8"/>
  <c r="E2" i="8"/>
  <c r="U1" i="8"/>
  <c r="T1" i="8"/>
  <c r="R1" i="8"/>
  <c r="Q1" i="8"/>
  <c r="P1" i="8"/>
  <c r="O1" i="8"/>
  <c r="L1" i="8"/>
  <c r="K1" i="8"/>
  <c r="J1" i="8"/>
  <c r="I1" i="8"/>
  <c r="H1" i="8"/>
  <c r="G1" i="8"/>
  <c r="F1" i="8"/>
  <c r="E1" i="8"/>
  <c r="B1" i="8"/>
  <c r="A1" i="8"/>
  <c r="E44" i="6"/>
  <c r="G37" i="8" s="1"/>
  <c r="E43" i="6"/>
  <c r="E35" i="6"/>
  <c r="E34" i="6"/>
  <c r="F23" i="6"/>
  <c r="E25" i="6"/>
  <c r="F26" i="6"/>
  <c r="E27" i="6"/>
  <c r="F30" i="6"/>
  <c r="E31" i="6"/>
  <c r="C26" i="6" l="1"/>
  <c r="E32" i="6"/>
  <c r="G25" i="8" s="1"/>
  <c r="F45" i="6"/>
  <c r="E45" i="6"/>
  <c r="F24" i="6"/>
  <c r="E24" i="6"/>
  <c r="G17" i="8" s="1"/>
  <c r="E26" i="6"/>
  <c r="G19" i="8" s="1"/>
  <c r="F38" i="6"/>
  <c r="H31" i="8" s="1"/>
  <c r="E38" i="6"/>
  <c r="G31" i="8" s="1"/>
  <c r="E42" i="6"/>
  <c r="G35" i="8" s="1"/>
  <c r="E33" i="6"/>
  <c r="E41" i="6"/>
  <c r="E28" i="6"/>
  <c r="G21" i="8" s="1"/>
  <c r="E36" i="6"/>
  <c r="G29" i="8" s="1"/>
  <c r="L23" i="6"/>
  <c r="E23" i="6"/>
  <c r="E39" i="6"/>
  <c r="F39" i="6"/>
  <c r="E29" i="6"/>
  <c r="F29" i="6"/>
  <c r="E30" i="6"/>
  <c r="G23" i="8" s="1"/>
  <c r="L47" i="6"/>
  <c r="E46" i="6"/>
  <c r="G39" i="8" s="1"/>
  <c r="E47" i="6"/>
  <c r="I46" i="6"/>
  <c r="K39" i="8" s="1"/>
  <c r="C47" i="6"/>
  <c r="F47" i="6"/>
  <c r="F28" i="6"/>
  <c r="H21" i="8" s="1"/>
  <c r="C24" i="6"/>
  <c r="C34" i="6"/>
  <c r="G27" i="8"/>
  <c r="I36" i="6"/>
  <c r="F34" i="6"/>
  <c r="I35" i="6"/>
  <c r="C36" i="6"/>
  <c r="F36" i="6"/>
  <c r="H29" i="8" s="1"/>
  <c r="K42" i="6"/>
  <c r="G33" i="8"/>
  <c r="C42" i="6"/>
  <c r="C40" i="6"/>
  <c r="C44" i="6"/>
  <c r="F40" i="6"/>
  <c r="F42" i="6"/>
  <c r="F44" i="6"/>
  <c r="H37" i="8" s="1"/>
  <c r="D34" i="6"/>
  <c r="I33" i="6"/>
  <c r="C28" i="6"/>
  <c r="C32" i="6"/>
  <c r="K23" i="6"/>
  <c r="K47" i="6" l="1"/>
  <c r="D26" i="6"/>
  <c r="C46" i="6"/>
  <c r="E39" i="8" s="1"/>
  <c r="I39" i="6"/>
  <c r="H23" i="8"/>
  <c r="F31" i="6"/>
  <c r="I41" i="6"/>
  <c r="L25" i="6"/>
  <c r="I25" i="6"/>
  <c r="K33" i="6"/>
  <c r="E27" i="8"/>
  <c r="C35" i="6"/>
  <c r="I27" i="6"/>
  <c r="H33" i="8"/>
  <c r="F41" i="6"/>
  <c r="M35" i="8"/>
  <c r="K43" i="6"/>
  <c r="E35" i="8"/>
  <c r="C43" i="6"/>
  <c r="K39" i="6"/>
  <c r="L27" i="6"/>
  <c r="K31" i="6"/>
  <c r="I29" i="6"/>
  <c r="K29" i="6"/>
  <c r="K29" i="8"/>
  <c r="I45" i="6"/>
  <c r="I43" i="6"/>
  <c r="H25" i="8"/>
  <c r="F33" i="6"/>
  <c r="K35" i="6"/>
  <c r="E29" i="8"/>
  <c r="C37" i="6"/>
  <c r="H19" i="8"/>
  <c r="F27" i="6"/>
  <c r="H35" i="8"/>
  <c r="F43" i="6"/>
  <c r="H17" i="8"/>
  <c r="F25" i="6"/>
  <c r="E22" i="6"/>
  <c r="D24" i="6"/>
  <c r="K41" i="6"/>
  <c r="H27" i="8"/>
  <c r="F35" i="6"/>
  <c r="K27" i="6"/>
  <c r="K45" i="6"/>
  <c r="K37" i="6"/>
  <c r="J47" i="6"/>
  <c r="I47" i="6"/>
  <c r="K46" i="6"/>
  <c r="M39" i="8" s="1"/>
  <c r="J46" i="6"/>
  <c r="L39" i="8" s="1"/>
  <c r="L46" i="6"/>
  <c r="N39" i="8" s="1"/>
  <c r="D47" i="6"/>
  <c r="K26" i="6"/>
  <c r="M19" i="8" s="1"/>
  <c r="I38" i="6"/>
  <c r="K31" i="8" s="1"/>
  <c r="K24" i="6"/>
  <c r="D36" i="6"/>
  <c r="L42" i="6"/>
  <c r="I44" i="6"/>
  <c r="K37" i="8" s="1"/>
  <c r="C38" i="6"/>
  <c r="J36" i="6"/>
  <c r="I34" i="6"/>
  <c r="K27" i="8" s="1"/>
  <c r="I40" i="6"/>
  <c r="K33" i="8" s="1"/>
  <c r="K40" i="6"/>
  <c r="M33" i="8" s="1"/>
  <c r="D44" i="6"/>
  <c r="D42" i="6"/>
  <c r="K44" i="6"/>
  <c r="M37" i="8" s="1"/>
  <c r="I42" i="6"/>
  <c r="K35" i="8" s="1"/>
  <c r="D40" i="6"/>
  <c r="K36" i="6"/>
  <c r="M29" i="8" s="1"/>
  <c r="D38" i="6"/>
  <c r="K38" i="6"/>
  <c r="M31" i="8" s="1"/>
  <c r="I30" i="6"/>
  <c r="I28" i="6"/>
  <c r="K21" i="8" s="1"/>
  <c r="K28" i="6"/>
  <c r="M21" i="8" s="1"/>
  <c r="C30" i="6"/>
  <c r="D32" i="6"/>
  <c r="D28" i="6"/>
  <c r="C23" i="6"/>
  <c r="I26" i="6"/>
  <c r="K19" i="8" s="1"/>
  <c r="I32" i="6"/>
  <c r="K25" i="8" s="1"/>
  <c r="I24" i="6"/>
  <c r="K17" i="8" s="1"/>
  <c r="K30" i="6"/>
  <c r="M23" i="8" s="1"/>
  <c r="I23" i="6"/>
  <c r="K32" i="6"/>
  <c r="M25" i="8" s="1"/>
  <c r="I22" i="6"/>
  <c r="K22" i="6"/>
  <c r="C22" i="6"/>
  <c r="F22" i="6"/>
  <c r="S19" i="6"/>
  <c r="B19" i="6"/>
  <c r="A19" i="6"/>
  <c r="S18" i="6"/>
  <c r="B18" i="6"/>
  <c r="B11" i="8" s="1"/>
  <c r="A18" i="6"/>
  <c r="A11" i="8" s="1"/>
  <c r="S17" i="6"/>
  <c r="B17" i="6"/>
  <c r="A17" i="6"/>
  <c r="S16" i="6"/>
  <c r="B16" i="6"/>
  <c r="B9" i="8" s="1"/>
  <c r="A16" i="6"/>
  <c r="A9" i="8" s="1"/>
  <c r="S15" i="6"/>
  <c r="B15" i="6"/>
  <c r="A15" i="6"/>
  <c r="S14" i="6"/>
  <c r="B14" i="6"/>
  <c r="B7" i="8" s="1"/>
  <c r="A14" i="6"/>
  <c r="A7" i="8" s="1"/>
  <c r="S13" i="6"/>
  <c r="B13" i="6"/>
  <c r="A13" i="6"/>
  <c r="S12" i="6"/>
  <c r="B12" i="6"/>
  <c r="B5" i="8" s="1"/>
  <c r="A12" i="6"/>
  <c r="A5" i="8" s="1"/>
  <c r="F19" i="6"/>
  <c r="F18" i="6"/>
  <c r="H11" i="8" s="1"/>
  <c r="F17" i="6"/>
  <c r="F16" i="6"/>
  <c r="H9" i="8" s="1"/>
  <c r="F15" i="6"/>
  <c r="F14" i="6"/>
  <c r="H7" i="8" s="1"/>
  <c r="D46" i="6" l="1"/>
  <c r="F39" i="8" s="1"/>
  <c r="I37" i="6"/>
  <c r="K34" i="6"/>
  <c r="M27" i="8" s="1"/>
  <c r="F27" i="8"/>
  <c r="D35" i="6"/>
  <c r="J43" i="6"/>
  <c r="E33" i="8"/>
  <c r="C41" i="6"/>
  <c r="J45" i="6"/>
  <c r="E23" i="8"/>
  <c r="C31" i="6"/>
  <c r="J41" i="6"/>
  <c r="J39" i="6"/>
  <c r="F35" i="8"/>
  <c r="D43" i="6"/>
  <c r="M17" i="8"/>
  <c r="K25" i="6"/>
  <c r="E17" i="8"/>
  <c r="C25" i="6"/>
  <c r="J25" i="6"/>
  <c r="F25" i="8"/>
  <c r="D33" i="6"/>
  <c r="E37" i="8"/>
  <c r="C45" i="6"/>
  <c r="L45" i="6"/>
  <c r="N35" i="8"/>
  <c r="L43" i="6"/>
  <c r="J35" i="6"/>
  <c r="L33" i="6"/>
  <c r="K23" i="8"/>
  <c r="I31" i="6"/>
  <c r="L31" i="6"/>
  <c r="J27" i="6"/>
  <c r="E19" i="8"/>
  <c r="C27" i="6"/>
  <c r="J29" i="6"/>
  <c r="L35" i="6"/>
  <c r="E31" i="8"/>
  <c r="C39" i="6"/>
  <c r="L41" i="6"/>
  <c r="L29" i="6"/>
  <c r="L37" i="6"/>
  <c r="L39" i="6"/>
  <c r="E21" i="8"/>
  <c r="C29" i="6"/>
  <c r="L29" i="8"/>
  <c r="J37" i="6"/>
  <c r="F29" i="8"/>
  <c r="D37" i="6"/>
  <c r="J33" i="6"/>
  <c r="E25" i="8"/>
  <c r="C33" i="6"/>
  <c r="G47" i="6"/>
  <c r="J38" i="6"/>
  <c r="L31" i="8" s="1"/>
  <c r="E13" i="6"/>
  <c r="J23" i="6"/>
  <c r="J44" i="6"/>
  <c r="L37" i="8" s="1"/>
  <c r="J34" i="6"/>
  <c r="L27" i="8" s="1"/>
  <c r="L44" i="6"/>
  <c r="N37" i="8" s="1"/>
  <c r="J42" i="6"/>
  <c r="L35" i="8" s="1"/>
  <c r="L40" i="6"/>
  <c r="N33" i="8" s="1"/>
  <c r="J40" i="6"/>
  <c r="L33" i="8" s="1"/>
  <c r="L34" i="6"/>
  <c r="N27" i="8" s="1"/>
  <c r="L36" i="6"/>
  <c r="N29" i="8" s="1"/>
  <c r="G35" i="6"/>
  <c r="L38" i="6"/>
  <c r="N31" i="8" s="1"/>
  <c r="J30" i="6"/>
  <c r="J26" i="6"/>
  <c r="L19" i="8" s="1"/>
  <c r="D30" i="6"/>
  <c r="L28" i="6"/>
  <c r="N21" i="8" s="1"/>
  <c r="J24" i="6"/>
  <c r="L17" i="8" s="1"/>
  <c r="D23" i="6"/>
  <c r="J28" i="6"/>
  <c r="L21" i="8" s="1"/>
  <c r="L30" i="6"/>
  <c r="N23" i="8" s="1"/>
  <c r="J32" i="6"/>
  <c r="L25" i="8" s="1"/>
  <c r="L26" i="6"/>
  <c r="N19" i="8" s="1"/>
  <c r="L24" i="6"/>
  <c r="N17" i="8" s="1"/>
  <c r="L32" i="6"/>
  <c r="N25" i="8" s="1"/>
  <c r="E19" i="6"/>
  <c r="E18" i="6"/>
  <c r="G11" i="8" s="1"/>
  <c r="J22" i="6"/>
  <c r="C19" i="6"/>
  <c r="D22" i="6"/>
  <c r="L22" i="6"/>
  <c r="E14" i="6"/>
  <c r="G7" i="8" s="1"/>
  <c r="K19" i="6"/>
  <c r="E16" i="6"/>
  <c r="G9" i="8" s="1"/>
  <c r="E17" i="6"/>
  <c r="C18" i="6"/>
  <c r="E11" i="8" s="1"/>
  <c r="E12" i="6"/>
  <c r="G5" i="8" s="1"/>
  <c r="E15" i="6"/>
  <c r="C15" i="6"/>
  <c r="C16" i="6"/>
  <c r="E9" i="8" s="1"/>
  <c r="K17" i="6"/>
  <c r="K13" i="6"/>
  <c r="C13" i="6"/>
  <c r="C12" i="6"/>
  <c r="E5" i="8" s="1"/>
  <c r="F12" i="6"/>
  <c r="H5" i="8" s="1"/>
  <c r="F13" i="6"/>
  <c r="M35" i="6" l="1"/>
  <c r="O35" i="6"/>
  <c r="M33" i="6"/>
  <c r="O33" i="6"/>
  <c r="M43" i="6"/>
  <c r="O43" i="6"/>
  <c r="O37" i="6"/>
  <c r="M37" i="6"/>
  <c r="F33" i="8"/>
  <c r="D41" i="6"/>
  <c r="G33" i="6"/>
  <c r="F37" i="8"/>
  <c r="D45" i="6"/>
  <c r="F23" i="8"/>
  <c r="D31" i="6"/>
  <c r="F19" i="8"/>
  <c r="D27" i="6"/>
  <c r="F17" i="8"/>
  <c r="D25" i="6"/>
  <c r="G43" i="6"/>
  <c r="L23" i="8"/>
  <c r="J31" i="6"/>
  <c r="F21" i="8"/>
  <c r="D29" i="6"/>
  <c r="G37" i="6"/>
  <c r="F31" i="8"/>
  <c r="D39" i="6"/>
  <c r="O47" i="6"/>
  <c r="M47" i="6"/>
  <c r="Q47" i="6"/>
  <c r="G46" i="6"/>
  <c r="I39" i="8" s="1"/>
  <c r="H47" i="6"/>
  <c r="G36" i="6"/>
  <c r="I29" i="8" s="1"/>
  <c r="D19" i="6"/>
  <c r="C17" i="6"/>
  <c r="G39" i="6"/>
  <c r="G34" i="6"/>
  <c r="I27" i="8" s="1"/>
  <c r="G23" i="6"/>
  <c r="L14" i="6"/>
  <c r="N7" i="8" s="1"/>
  <c r="K14" i="6"/>
  <c r="M7" i="8" s="1"/>
  <c r="K15" i="6"/>
  <c r="C14" i="6"/>
  <c r="E7" i="8" s="1"/>
  <c r="L18" i="6"/>
  <c r="N11" i="8" s="1"/>
  <c r="D18" i="6"/>
  <c r="F11" i="8" s="1"/>
  <c r="L15" i="6"/>
  <c r="I16" i="6"/>
  <c r="K9" i="8" s="1"/>
  <c r="G22" i="6"/>
  <c r="J13" i="6"/>
  <c r="I13" i="6"/>
  <c r="I19" i="6"/>
  <c r="J12" i="6"/>
  <c r="L5" i="8" s="1"/>
  <c r="I12" i="6"/>
  <c r="K5" i="8" s="1"/>
  <c r="I18" i="6"/>
  <c r="K11" i="8" s="1"/>
  <c r="J18" i="6"/>
  <c r="L11" i="8" s="1"/>
  <c r="L19" i="6"/>
  <c r="G19" i="6"/>
  <c r="D16" i="6"/>
  <c r="F9" i="8" s="1"/>
  <c r="D15" i="6"/>
  <c r="L17" i="6"/>
  <c r="D13" i="6"/>
  <c r="L13" i="6"/>
  <c r="D12" i="6"/>
  <c r="F5" i="8" s="1"/>
  <c r="D17" i="6" l="1"/>
  <c r="D14" i="6"/>
  <c r="F7" i="8" s="1"/>
  <c r="K18" i="6"/>
  <c r="M11" i="8" s="1"/>
  <c r="M23" i="6"/>
  <c r="O31" i="6"/>
  <c r="N37" i="6"/>
  <c r="N35" i="6"/>
  <c r="M39" i="6"/>
  <c r="M27" i="6"/>
  <c r="M41" i="6"/>
  <c r="M34" i="6"/>
  <c r="Q27" i="8" s="1"/>
  <c r="W27" i="8" s="1"/>
  <c r="O36" i="6"/>
  <c r="T29" i="8" s="1"/>
  <c r="Y29" i="8" s="1"/>
  <c r="AA29" i="8" s="1"/>
  <c r="O41" i="6"/>
  <c r="O45" i="6"/>
  <c r="O34" i="6"/>
  <c r="T27" i="8" s="1"/>
  <c r="Y27" i="8" s="1"/>
  <c r="AA27" i="8" s="1"/>
  <c r="M25" i="6"/>
  <c r="O39" i="6"/>
  <c r="M22" i="6"/>
  <c r="O25" i="6"/>
  <c r="N33" i="6"/>
  <c r="O22" i="6"/>
  <c r="M31" i="6"/>
  <c r="P37" i="6"/>
  <c r="P43" i="6"/>
  <c r="P33" i="6"/>
  <c r="N43" i="6"/>
  <c r="M36" i="6"/>
  <c r="Q29" i="8" s="1"/>
  <c r="W29" i="8" s="1"/>
  <c r="O29" i="6"/>
  <c r="O27" i="6"/>
  <c r="P35" i="6"/>
  <c r="M29" i="6"/>
  <c r="O23" i="6"/>
  <c r="M45" i="6"/>
  <c r="H35" i="6"/>
  <c r="Q37" i="6"/>
  <c r="H37" i="6"/>
  <c r="H43" i="6"/>
  <c r="G25" i="6"/>
  <c r="Q33" i="6"/>
  <c r="G31" i="6"/>
  <c r="H33" i="6"/>
  <c r="G45" i="6"/>
  <c r="Q43" i="6"/>
  <c r="G29" i="6"/>
  <c r="Q35" i="6"/>
  <c r="G27" i="6"/>
  <c r="G41" i="6"/>
  <c r="N47" i="6"/>
  <c r="P47" i="6"/>
  <c r="M46" i="6"/>
  <c r="Q39" i="8" s="1"/>
  <c r="W39" i="8" s="1"/>
  <c r="O46" i="6"/>
  <c r="T39" i="8" s="1"/>
  <c r="Y39" i="8" s="1"/>
  <c r="AA39" i="8" s="1"/>
  <c r="Q46" i="6"/>
  <c r="O39" i="8" s="1"/>
  <c r="R47" i="6"/>
  <c r="H46" i="6"/>
  <c r="J39" i="8" s="1"/>
  <c r="Q36" i="6"/>
  <c r="O29" i="8" s="1"/>
  <c r="G38" i="6"/>
  <c r="I31" i="8" s="1"/>
  <c r="J16" i="6"/>
  <c r="L9" i="8" s="1"/>
  <c r="K16" i="6"/>
  <c r="M9" i="8" s="1"/>
  <c r="G42" i="6"/>
  <c r="I35" i="8" s="1"/>
  <c r="G44" i="6"/>
  <c r="I37" i="8" s="1"/>
  <c r="G40" i="6"/>
  <c r="I33" i="8" s="1"/>
  <c r="Q34" i="6"/>
  <c r="O27" i="8" s="1"/>
  <c r="H34" i="6"/>
  <c r="J27" i="8" s="1"/>
  <c r="Q23" i="6"/>
  <c r="H23" i="6"/>
  <c r="G24" i="6"/>
  <c r="I17" i="8" s="1"/>
  <c r="G30" i="6"/>
  <c r="I23" i="8" s="1"/>
  <c r="G28" i="6"/>
  <c r="I21" i="8" s="1"/>
  <c r="G26" i="6"/>
  <c r="I19" i="8" s="1"/>
  <c r="G32" i="6"/>
  <c r="I25" i="8" s="1"/>
  <c r="J19" i="6"/>
  <c r="Q22" i="6"/>
  <c r="H22" i="6"/>
  <c r="M19" i="6"/>
  <c r="J17" i="6"/>
  <c r="I17" i="6"/>
  <c r="J14" i="6"/>
  <c r="L7" i="8" s="1"/>
  <c r="I14" i="6"/>
  <c r="K7" i="8" s="1"/>
  <c r="J15" i="6"/>
  <c r="I15" i="6"/>
  <c r="H19" i="6"/>
  <c r="L16" i="6"/>
  <c r="N9" i="8" s="1"/>
  <c r="G15" i="6"/>
  <c r="G17" i="6"/>
  <c r="G13" i="6"/>
  <c r="R36" i="6" l="1"/>
  <c r="P36" i="6"/>
  <c r="U29" i="8" s="1"/>
  <c r="V29" i="8" s="1"/>
  <c r="Z29" i="8" s="1"/>
  <c r="N36" i="6"/>
  <c r="R29" i="8" s="1"/>
  <c r="S29" i="8" s="1"/>
  <c r="X29" i="8" s="1"/>
  <c r="H36" i="6"/>
  <c r="J29" i="8" s="1"/>
  <c r="N22" i="6"/>
  <c r="O26" i="6"/>
  <c r="T19" i="8" s="1"/>
  <c r="Y19" i="8" s="1"/>
  <c r="AA19" i="8" s="1"/>
  <c r="N45" i="6"/>
  <c r="N27" i="6"/>
  <c r="M32" i="6"/>
  <c r="Q25" i="8" s="1"/>
  <c r="W25" i="8" s="1"/>
  <c r="P27" i="6"/>
  <c r="O42" i="6"/>
  <c r="T35" i="8" s="1"/>
  <c r="Y35" i="8" s="1"/>
  <c r="AA35" i="8" s="1"/>
  <c r="O40" i="6"/>
  <c r="T33" i="8" s="1"/>
  <c r="Y33" i="8" s="1"/>
  <c r="AA33" i="8" s="1"/>
  <c r="O30" i="6"/>
  <c r="T23" i="8" s="1"/>
  <c r="Y23" i="8" s="1"/>
  <c r="AA23" i="8" s="1"/>
  <c r="P25" i="6"/>
  <c r="P34" i="6"/>
  <c r="U27" i="8" s="1"/>
  <c r="AB27" i="8" s="1"/>
  <c r="P45" i="6"/>
  <c r="O38" i="6"/>
  <c r="T31" i="8" s="1"/>
  <c r="Y31" i="8" s="1"/>
  <c r="AA31" i="8" s="1"/>
  <c r="N23" i="6"/>
  <c r="O32" i="6"/>
  <c r="T25" i="8" s="1"/>
  <c r="Y25" i="8" s="1"/>
  <c r="AA25" i="8" s="1"/>
  <c r="N34" i="6"/>
  <c r="R27" i="8" s="1"/>
  <c r="S27" i="8" s="1"/>
  <c r="X27" i="8" s="1"/>
  <c r="M38" i="6"/>
  <c r="Q31" i="8" s="1"/>
  <c r="W31" i="8" s="1"/>
  <c r="M30" i="6"/>
  <c r="Q23" i="8" s="1"/>
  <c r="W23" i="8" s="1"/>
  <c r="P29" i="6"/>
  <c r="N41" i="6"/>
  <c r="P39" i="6"/>
  <c r="N31" i="6"/>
  <c r="P23" i="6"/>
  <c r="M44" i="6"/>
  <c r="Q37" i="8" s="1"/>
  <c r="W37" i="8" s="1"/>
  <c r="P22" i="6"/>
  <c r="M26" i="6"/>
  <c r="Q19" i="8" s="1"/>
  <c r="W19" i="8" s="1"/>
  <c r="N25" i="6"/>
  <c r="O44" i="6"/>
  <c r="T37" i="8" s="1"/>
  <c r="Y37" i="8" s="1"/>
  <c r="AA37" i="8" s="1"/>
  <c r="P31" i="6"/>
  <c r="M24" i="6"/>
  <c r="Q17" i="8" s="1"/>
  <c r="W17" i="8" s="1"/>
  <c r="M28" i="6"/>
  <c r="Q21" i="8" s="1"/>
  <c r="W21" i="8" s="1"/>
  <c r="N39" i="6"/>
  <c r="P41" i="6"/>
  <c r="N29" i="6"/>
  <c r="O24" i="6"/>
  <c r="T17" i="8" s="1"/>
  <c r="Y17" i="8" s="1"/>
  <c r="AA17" i="8" s="1"/>
  <c r="O28" i="6"/>
  <c r="T21" i="8" s="1"/>
  <c r="Y21" i="8" s="1"/>
  <c r="AA21" i="8" s="1"/>
  <c r="M42" i="6"/>
  <c r="Q35" i="8" s="1"/>
  <c r="W35" i="8" s="1"/>
  <c r="M40" i="6"/>
  <c r="Q33" i="8" s="1"/>
  <c r="W33" i="8" s="1"/>
  <c r="H25" i="6"/>
  <c r="P29" i="8"/>
  <c r="R37" i="6"/>
  <c r="Q45" i="6"/>
  <c r="H31" i="6"/>
  <c r="Q27" i="6"/>
  <c r="R33" i="6"/>
  <c r="H45" i="6"/>
  <c r="R43" i="6"/>
  <c r="Q29" i="6"/>
  <c r="Q25" i="6"/>
  <c r="R35" i="6"/>
  <c r="Q41" i="6"/>
  <c r="H29" i="6"/>
  <c r="Q31" i="6"/>
  <c r="H39" i="6"/>
  <c r="Q39" i="6"/>
  <c r="H27" i="6"/>
  <c r="H41" i="6"/>
  <c r="N46" i="6"/>
  <c r="R39" i="8" s="1"/>
  <c r="S39" i="8" s="1"/>
  <c r="X39" i="8" s="1"/>
  <c r="P46" i="6"/>
  <c r="U39" i="8" s="1"/>
  <c r="R46" i="6"/>
  <c r="P39" i="8" s="1"/>
  <c r="Q38" i="6"/>
  <c r="O31" i="8" s="1"/>
  <c r="O19" i="6"/>
  <c r="Q19" i="6"/>
  <c r="Q42" i="6"/>
  <c r="O35" i="8" s="1"/>
  <c r="Q44" i="6"/>
  <c r="O37" i="8" s="1"/>
  <c r="Q40" i="6"/>
  <c r="O33" i="8" s="1"/>
  <c r="H42" i="6"/>
  <c r="J35" i="8" s="1"/>
  <c r="H44" i="6"/>
  <c r="J37" i="8" s="1"/>
  <c r="H40" i="6"/>
  <c r="J33" i="8" s="1"/>
  <c r="R34" i="6"/>
  <c r="P27" i="8" s="1"/>
  <c r="Q30" i="6"/>
  <c r="O23" i="8" s="1"/>
  <c r="Q26" i="6"/>
  <c r="O19" i="8" s="1"/>
  <c r="Q24" i="6"/>
  <c r="O17" i="8" s="1"/>
  <c r="Q32" i="6"/>
  <c r="O25" i="8" s="1"/>
  <c r="R23" i="6"/>
  <c r="Q28" i="6"/>
  <c r="O21" i="8" s="1"/>
  <c r="H30" i="6"/>
  <c r="J23" i="8" s="1"/>
  <c r="H26" i="6"/>
  <c r="J19" i="8" s="1"/>
  <c r="H24" i="6"/>
  <c r="J17" i="8" s="1"/>
  <c r="H32" i="6"/>
  <c r="J25" i="8" s="1"/>
  <c r="H28" i="6"/>
  <c r="J21" i="8" s="1"/>
  <c r="H18" i="6"/>
  <c r="J11" i="8" s="1"/>
  <c r="R22" i="6"/>
  <c r="M15" i="6"/>
  <c r="O15" i="6"/>
  <c r="M17" i="6"/>
  <c r="O17" i="6"/>
  <c r="N19" i="6"/>
  <c r="M13" i="6"/>
  <c r="O13" i="6"/>
  <c r="Q15" i="6"/>
  <c r="Q17" i="6"/>
  <c r="G16" i="6"/>
  <c r="I9" i="8" s="1"/>
  <c r="G14" i="6"/>
  <c r="I7" i="8" s="1"/>
  <c r="H17" i="6"/>
  <c r="H15" i="6"/>
  <c r="Q13" i="6"/>
  <c r="H13" i="6"/>
  <c r="V27" i="8" l="1"/>
  <c r="Z27" i="8" s="1"/>
  <c r="AB29" i="8"/>
  <c r="N38" i="6"/>
  <c r="R31" i="8" s="1"/>
  <c r="S31" i="8" s="1"/>
  <c r="X31" i="8" s="1"/>
  <c r="R38" i="6"/>
  <c r="P31" i="8" s="1"/>
  <c r="P38" i="6"/>
  <c r="U31" i="8" s="1"/>
  <c r="AB31" i="8" s="1"/>
  <c r="H38" i="6"/>
  <c r="J31" i="8" s="1"/>
  <c r="P24" i="6"/>
  <c r="U17" i="8" s="1"/>
  <c r="N44" i="6"/>
  <c r="R37" i="8" s="1"/>
  <c r="S37" i="8" s="1"/>
  <c r="X37" i="8" s="1"/>
  <c r="P26" i="6"/>
  <c r="U19" i="8" s="1"/>
  <c r="AB19" i="8" s="1"/>
  <c r="P32" i="6"/>
  <c r="U25" i="8" s="1"/>
  <c r="N28" i="6"/>
  <c r="R21" i="8" s="1"/>
  <c r="S21" i="8" s="1"/>
  <c r="X21" i="8" s="1"/>
  <c r="N40" i="6"/>
  <c r="R33" i="8" s="1"/>
  <c r="S33" i="8" s="1"/>
  <c r="X33" i="8" s="1"/>
  <c r="P28" i="6"/>
  <c r="U21" i="8" s="1"/>
  <c r="P40" i="6"/>
  <c r="U33" i="8" s="1"/>
  <c r="AB33" i="8" s="1"/>
  <c r="N24" i="6"/>
  <c r="R17" i="8" s="1"/>
  <c r="S17" i="8" s="1"/>
  <c r="X17" i="8" s="1"/>
  <c r="P30" i="6"/>
  <c r="U23" i="8" s="1"/>
  <c r="V23" i="8" s="1"/>
  <c r="Z23" i="8" s="1"/>
  <c r="N26" i="6"/>
  <c r="R19" i="8" s="1"/>
  <c r="S19" i="8" s="1"/>
  <c r="X19" i="8" s="1"/>
  <c r="N30" i="6"/>
  <c r="R23" i="8" s="1"/>
  <c r="S23" i="8" s="1"/>
  <c r="X23" i="8" s="1"/>
  <c r="P44" i="6"/>
  <c r="U37" i="8" s="1"/>
  <c r="AB37" i="8" s="1"/>
  <c r="N32" i="6"/>
  <c r="R25" i="8" s="1"/>
  <c r="S25" i="8" s="1"/>
  <c r="X25" i="8" s="1"/>
  <c r="N42" i="6"/>
  <c r="R35" i="8" s="1"/>
  <c r="S35" i="8" s="1"/>
  <c r="X35" i="8" s="1"/>
  <c r="P42" i="6"/>
  <c r="U35" i="8" s="1"/>
  <c r="R45" i="6"/>
  <c r="R27" i="6"/>
  <c r="R39" i="6"/>
  <c r="R31" i="6"/>
  <c r="R41" i="6"/>
  <c r="R25" i="6"/>
  <c r="R29" i="6"/>
  <c r="AB39" i="8"/>
  <c r="V39" i="8"/>
  <c r="Z39" i="8" s="1"/>
  <c r="P19" i="6"/>
  <c r="R19" i="6"/>
  <c r="V37" i="8"/>
  <c r="Z37" i="8" s="1"/>
  <c r="R44" i="6"/>
  <c r="P37" i="8" s="1"/>
  <c r="R42" i="6"/>
  <c r="P35" i="8" s="1"/>
  <c r="R40" i="6"/>
  <c r="P33" i="8" s="1"/>
  <c r="R24" i="6"/>
  <c r="P17" i="8" s="1"/>
  <c r="R30" i="6"/>
  <c r="P23" i="8" s="1"/>
  <c r="R32" i="6"/>
  <c r="P25" i="8" s="1"/>
  <c r="R28" i="6"/>
  <c r="P21" i="8" s="1"/>
  <c r="R26" i="6"/>
  <c r="P19" i="8" s="1"/>
  <c r="Q18" i="6"/>
  <c r="O11" i="8" s="1"/>
  <c r="O18" i="6"/>
  <c r="T11" i="8" s="1"/>
  <c r="Y11" i="8" s="1"/>
  <c r="AA11" i="8" s="1"/>
  <c r="M18" i="6"/>
  <c r="Q11" i="8" s="1"/>
  <c r="W11" i="8" s="1"/>
  <c r="G18" i="6"/>
  <c r="I11" i="8" s="1"/>
  <c r="P13" i="6"/>
  <c r="O14" i="6"/>
  <c r="T7" i="8" s="1"/>
  <c r="Y7" i="8" s="1"/>
  <c r="AA7" i="8" s="1"/>
  <c r="M16" i="6"/>
  <c r="Q9" i="8" s="1"/>
  <c r="W9" i="8" s="1"/>
  <c r="O16" i="6"/>
  <c r="T9" i="8" s="1"/>
  <c r="Y9" i="8" s="1"/>
  <c r="AA9" i="8" s="1"/>
  <c r="N13" i="6"/>
  <c r="M14" i="6"/>
  <c r="Q7" i="8" s="1"/>
  <c r="W7" i="8" s="1"/>
  <c r="N15" i="6"/>
  <c r="P15" i="6"/>
  <c r="N17" i="6"/>
  <c r="P17" i="6"/>
  <c r="K12" i="6"/>
  <c r="M5" i="8" s="1"/>
  <c r="L12" i="6"/>
  <c r="N5" i="8" s="1"/>
  <c r="N18" i="6"/>
  <c r="R11" i="8" s="1"/>
  <c r="P18" i="6"/>
  <c r="U11" i="8" s="1"/>
  <c r="R18" i="6"/>
  <c r="P11" i="8" s="1"/>
  <c r="R17" i="6"/>
  <c r="Q16" i="6"/>
  <c r="O9" i="8" s="1"/>
  <c r="Q14" i="6"/>
  <c r="O7" i="8" s="1"/>
  <c r="R15" i="6"/>
  <c r="H16" i="6"/>
  <c r="J9" i="8" s="1"/>
  <c r="H14" i="6"/>
  <c r="J7" i="8" s="1"/>
  <c r="R13" i="6"/>
  <c r="S11" i="6"/>
  <c r="B11" i="6"/>
  <c r="A11" i="6"/>
  <c r="S10" i="6"/>
  <c r="B10" i="6"/>
  <c r="B3" i="8" s="1"/>
  <c r="A10" i="6"/>
  <c r="A3" i="8" s="1"/>
  <c r="S9" i="6"/>
  <c r="B9" i="6"/>
  <c r="A9" i="6"/>
  <c r="AB23" i="8" l="1"/>
  <c r="S11" i="8"/>
  <c r="V31" i="8"/>
  <c r="Z31" i="8" s="1"/>
  <c r="V19" i="8"/>
  <c r="Z19" i="8" s="1"/>
  <c r="V33" i="8"/>
  <c r="Z33" i="8" s="1"/>
  <c r="V21" i="8"/>
  <c r="Z21" i="8" s="1"/>
  <c r="AB21" i="8"/>
  <c r="V35" i="8"/>
  <c r="Z35" i="8" s="1"/>
  <c r="AB35" i="8"/>
  <c r="AB25" i="8"/>
  <c r="V25" i="8"/>
  <c r="Z25" i="8" s="1"/>
  <c r="AB17" i="8"/>
  <c r="V17" i="8"/>
  <c r="Z17" i="8" s="1"/>
  <c r="X11" i="8"/>
  <c r="V11" i="8"/>
  <c r="Z11" i="8" s="1"/>
  <c r="AB11" i="8"/>
  <c r="N14" i="6"/>
  <c r="R7" i="8" s="1"/>
  <c r="S7" i="8" s="1"/>
  <c r="X7" i="8" s="1"/>
  <c r="P14" i="6"/>
  <c r="U7" i="8" s="1"/>
  <c r="P16" i="6"/>
  <c r="U9" i="8" s="1"/>
  <c r="N16" i="6"/>
  <c r="R9" i="8" s="1"/>
  <c r="S9" i="8" s="1"/>
  <c r="X9" i="8" s="1"/>
  <c r="R14" i="6"/>
  <c r="P7" i="8" s="1"/>
  <c r="R16" i="6"/>
  <c r="P9" i="8" s="1"/>
  <c r="C9" i="6"/>
  <c r="E9" i="6"/>
  <c r="E11" i="6"/>
  <c r="E10" i="6"/>
  <c r="G3" i="8" s="1"/>
  <c r="K9" i="6"/>
  <c r="D9" i="6" l="1"/>
  <c r="V9" i="8"/>
  <c r="Z9" i="8" s="1"/>
  <c r="AB9" i="8"/>
  <c r="V7" i="8"/>
  <c r="Z7" i="8" s="1"/>
  <c r="AB7" i="8"/>
  <c r="D10" i="6"/>
  <c r="F3" i="8" s="1"/>
  <c r="C10" i="6"/>
  <c r="E3" i="8" s="1"/>
  <c r="F10" i="6"/>
  <c r="H3" i="8" s="1"/>
  <c r="F9" i="6"/>
  <c r="F11" i="6"/>
  <c r="J11" i="6"/>
  <c r="I11" i="6"/>
  <c r="J10" i="6"/>
  <c r="L3" i="8" s="1"/>
  <c r="I10" i="6"/>
  <c r="K3" i="8" s="1"/>
  <c r="I9" i="6"/>
  <c r="J9" i="6"/>
  <c r="K10" i="6"/>
  <c r="M3" i="8" s="1"/>
  <c r="K11" i="6"/>
  <c r="L9" i="6"/>
  <c r="M9" i="6" l="1"/>
  <c r="O9" i="6"/>
  <c r="G9" i="6"/>
  <c r="D11" i="6"/>
  <c r="C11" i="6"/>
  <c r="N9" i="6"/>
  <c r="H9" i="6"/>
  <c r="Q9" i="6"/>
  <c r="L11" i="6"/>
  <c r="L10" i="6"/>
  <c r="N3" i="8" s="1"/>
  <c r="P9" i="6" l="1"/>
  <c r="R9" i="6"/>
  <c r="G10" i="6" l="1"/>
  <c r="I3" i="8" s="1"/>
  <c r="M12" i="6"/>
  <c r="Q5" i="8" s="1"/>
  <c r="W5" i="8" s="1"/>
  <c r="Q12" i="6"/>
  <c r="O5" i="8" s="1"/>
  <c r="O12" i="6"/>
  <c r="T5" i="8" s="1"/>
  <c r="Y5" i="8" s="1"/>
  <c r="AA5" i="8" s="1"/>
  <c r="G12" i="6"/>
  <c r="I5" i="8" s="1"/>
  <c r="M11" i="6"/>
  <c r="O11" i="6"/>
  <c r="G11" i="6"/>
  <c r="Q10" i="6" l="1"/>
  <c r="O3" i="8" s="1"/>
  <c r="P12" i="6"/>
  <c r="U5" i="8" s="1"/>
  <c r="R12" i="6"/>
  <c r="P5" i="8" s="1"/>
  <c r="N12" i="6"/>
  <c r="R5" i="8" s="1"/>
  <c r="S5" i="8" s="1"/>
  <c r="X5" i="8" s="1"/>
  <c r="H12" i="6"/>
  <c r="J5" i="8" s="1"/>
  <c r="O10" i="6"/>
  <c r="T3" i="8" s="1"/>
  <c r="Y3" i="8" s="1"/>
  <c r="AA3" i="8" s="1"/>
  <c r="M10" i="6"/>
  <c r="Q3" i="8" s="1"/>
  <c r="W3" i="8" s="1"/>
  <c r="P11" i="6"/>
  <c r="N11" i="6"/>
  <c r="Q11" i="6"/>
  <c r="H10" i="6"/>
  <c r="J3" i="8" s="1"/>
  <c r="H11" i="6"/>
  <c r="AB5" i="8" l="1"/>
  <c r="V5" i="8"/>
  <c r="Z5" i="8" s="1"/>
  <c r="P10" i="6"/>
  <c r="U3" i="8" s="1"/>
  <c r="N10" i="6"/>
  <c r="R3" i="8" s="1"/>
  <c r="S3" i="8" s="1"/>
  <c r="X3" i="8" s="1"/>
  <c r="R11" i="6"/>
  <c r="AB3" i="8" l="1"/>
  <c r="V3" i="8"/>
  <c r="Z3" i="8" s="1"/>
  <c r="R10" i="6"/>
  <c r="P3" i="8" s="1"/>
</calcChain>
</file>

<file path=xl/sharedStrings.xml><?xml version="1.0" encoding="utf-8"?>
<sst xmlns="http://schemas.openxmlformats.org/spreadsheetml/2006/main" count="296" uniqueCount="140">
  <si>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</si>
  <si>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</si>
  <si>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</si>
  <si>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</si>
  <si>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</si>
  <si>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</si>
  <si>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</si>
  <si>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</si>
  <si>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</si>
  <si>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</si>
  <si>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</si>
  <si>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</si>
  <si>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</si>
  <si>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</si>
  <si>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</si>
  <si>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</si>
  <si>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</si>
  <si>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</si>
  <si>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</si>
  <si>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</si>
  <si>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</si>
  <si>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</si>
  <si>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</si>
  <si>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</si>
  <si>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</si>
  <si>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</si>
  <si>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</si>
  <si>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</si>
  <si>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</si>
  <si>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</si>
  <si>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</si>
  <si>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</si>
  <si>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</si>
  <si>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</si>
  <si>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</si>
  <si>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</si>
  <si>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</si>
  <si>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</si>
  <si>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</si>
  <si>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</si>
  <si>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</si>
  <si>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</si>
  <si>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</si>
  <si>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</si>
  <si>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</si>
  <si>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</si>
  <si>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</si>
  <si>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</si>
  <si>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</si>
  <si>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</si>
  <si>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</si>
  <si>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</si>
  <si>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</si>
  <si>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</si>
  <si>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</si>
  <si>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</si>
  <si>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</si>
  <si>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</si>
  <si>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</si>
  <si>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</si>
  <si>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</si>
  <si>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</si>
  <si>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</si>
  <si>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</si>
  <si>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</si>
  <si>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</si>
  <si>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</si>
  <si>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</si>
  <si>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</si>
  <si>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</si>
  <si>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</si>
  <si>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</si>
  <si>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</si>
  <si>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 xml:space="preserve">   (ug/g)</t>
  </si>
  <si>
    <t>U236:</t>
  </si>
  <si>
    <t>ng/g</t>
  </si>
  <si>
    <t>U233:</t>
  </si>
  <si>
    <t>Th229:</t>
  </si>
  <si>
    <t>233 / 236</t>
  </si>
  <si>
    <t>Fehler [%]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</si>
  <si>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</si>
  <si>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</si>
  <si>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</si>
  <si>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</si>
  <si>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</si>
  <si>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</si>
  <si>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</si>
  <si>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</si>
  <si>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</si>
  <si>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</si>
  <si>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</si>
  <si>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</si>
  <si>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</si>
  <si>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</si>
  <si>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Sample ID</t>
  </si>
  <si>
    <t>DFT</t>
  </si>
  <si>
    <t>Age (unkorr)</t>
  </si>
  <si>
    <t>Age (corr)</t>
  </si>
  <si>
    <t>Age</t>
  </si>
  <si>
    <t>1950 AD</t>
  </si>
  <si>
    <t>AD</t>
  </si>
  <si>
    <t>d234U</t>
  </si>
  <si>
    <t>(o/oo)</t>
  </si>
  <si>
    <t>(abso.) o/oo</t>
  </si>
  <si>
    <t>%</t>
  </si>
  <si>
    <t>Kalkspat</t>
  </si>
  <si>
    <t>Standard</t>
  </si>
  <si>
    <t>error 230Th/238U</t>
  </si>
  <si>
    <t>error 234U/238U</t>
  </si>
  <si>
    <t>atomic ratio</t>
  </si>
  <si>
    <t>230Th/238U - cheng value</t>
  </si>
  <si>
    <t>rel. Error 230Th/238U</t>
  </si>
  <si>
    <t>WM-1 (20)</t>
  </si>
  <si>
    <t>WM-1 (66)</t>
  </si>
  <si>
    <t>WM-1-6-1</t>
  </si>
  <si>
    <t>WM-4 (19.5)</t>
  </si>
  <si>
    <t>WM-4 (65)</t>
  </si>
  <si>
    <t>WM-5 (3,2)</t>
  </si>
  <si>
    <t>WM-5 (140)</t>
  </si>
  <si>
    <t>007I9186.exp</t>
  </si>
  <si>
    <t>010I9715.exp</t>
  </si>
  <si>
    <t>013I9186.exp</t>
  </si>
  <si>
    <t>016I9716.exp</t>
  </si>
  <si>
    <t>019I9186.exp</t>
  </si>
  <si>
    <t>022I9717.exp</t>
  </si>
  <si>
    <t>025I9186.exp</t>
  </si>
  <si>
    <t>028I9718.exp</t>
  </si>
  <si>
    <t>031I9186.exp</t>
  </si>
  <si>
    <t>034I9719.exp</t>
  </si>
  <si>
    <t>037I9186.exp</t>
  </si>
  <si>
    <t>040I9720.exp</t>
  </si>
  <si>
    <t>043I9186.exp</t>
  </si>
  <si>
    <t>046I9721.exp</t>
  </si>
  <si>
    <t>049I9186.exp</t>
  </si>
  <si>
    <t>mean</t>
  </si>
  <si>
    <t>st dev</t>
  </si>
  <si>
    <t>234U/238U - cheng value</t>
  </si>
  <si>
    <t>rel. Error 234U/238U</t>
  </si>
  <si>
    <t>Fehler 234U/238U</t>
  </si>
  <si>
    <t>absolut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</si>
</sst>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General_)"/>
    <numFmt numFmtId="166" formatCode="0.00000"/>
    <numFmt numFmtId="167" formatCode="0.00000000"/>
    <numFmt numFmtId="168" formatCode="0.000000000"/>
    <numFmt numFmtId="169" formatCode="0.0000"/>
    <numFmt numFmtId="170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perscript"/>
      <sz val="11"/>
      <name val="Arial"/>
      <family val="2"/>
    </font>
    <font>
      <b/>
      <sz val="11"/>
      <name val="Arial"/>
      <family val="2"/>
    </font>
    <font>
      <b/>
      <vertAlign val="subscript"/>
      <sz val="11"/>
      <name val="Arial"/>
      <family val="2"/>
    </font>
    <font>
      <b/>
      <vertAlign val="superscript"/>
      <sz val="11"/>
      <name val="Symbol"/>
      <family val="1"/>
      <charset val="2"/>
    </font>
    <font>
      <sz val="11"/>
      <name val="Arial"/>
      <family val="2"/>
    </font>
    <font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8">
    <xf numFmtId="0" fontId="0" fillId="0" borderId="0" xfId="0"/>
    <xf numFmtId="14" fontId="0" fillId="0" borderId="0" xfId="0" applyNumberFormat="1"/>
    <xf numFmtId="0" fontId="22" fillId="33" borderId="0" xfId="0" applyFont="1" applyFill="1" applyAlignment="1">
      <alignment horizontal="center" vertical="center" wrapText="1"/>
    </xf>
    <xf numFmtId="0" fontId="22" fillId="33" borderId="0" xfId="0" applyFont="1" applyFill="1" applyBorder="1" applyAlignment="1">
      <alignment horizontal="center"/>
    </xf>
    <xf numFmtId="164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67" fontId="22" fillId="33" borderId="0" xfId="0" applyNumberFormat="1" applyFont="1" applyFill="1" applyBorder="1" applyAlignment="1" applyProtection="1">
      <alignment horizontal="center"/>
    </xf>
    <xf numFmtId="0" fontId="22" fillId="33" borderId="0" xfId="0" applyFont="1" applyFill="1" applyBorder="1" applyAlignment="1" applyProtection="1">
      <alignment horizontal="center"/>
    </xf>
    <xf numFmtId="167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 applyProtection="1">
      <alignment horizontal="center"/>
    </xf>
    <xf numFmtId="168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 applyProtection="1">
      <alignment horizontal="center"/>
    </xf>
    <xf numFmtId="169" fontId="22" fillId="33" borderId="0" xfId="0" applyNumberFormat="1" applyFont="1" applyFill="1" applyBorder="1" applyAlignment="1">
      <alignment horizontal="center"/>
    </xf>
    <xf numFmtId="1" fontId="22" fillId="33" borderId="0" xfId="0" applyNumberFormat="1" applyFont="1" applyFill="1" applyBorder="1" applyAlignment="1">
      <alignment horizontal="center"/>
    </xf>
    <xf numFmtId="2" fontId="22" fillId="33" borderId="0" xfId="0" applyNumberFormat="1" applyFont="1" applyFill="1" applyBorder="1" applyAlignment="1">
      <alignment horizontal="center"/>
    </xf>
    <xf numFmtId="170" fontId="23" fillId="33" borderId="0" xfId="0" applyNumberFormat="1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4" fontId="22" fillId="0" borderId="0" xfId="0" applyNumberFormat="1" applyFont="1" applyBorder="1" applyAlignment="1">
      <alignment horizontal="center"/>
    </xf>
    <xf numFmtId="165" fontId="22" fillId="0" borderId="0" xfId="0" applyNumberFormat="1" applyFont="1" applyBorder="1" applyAlignment="1">
      <alignment horizontal="center"/>
    </xf>
    <xf numFmtId="166" fontId="22" fillId="0" borderId="0" xfId="0" applyNumberFormat="1" applyFont="1" applyBorder="1" applyAlignment="1">
      <alignment horizontal="center"/>
    </xf>
    <xf numFmtId="167" fontId="22" fillId="0" borderId="0" xfId="0" applyNumberFormat="1" applyFont="1" applyBorder="1" applyAlignment="1" applyProtection="1">
      <alignment horizontal="center"/>
    </xf>
    <xf numFmtId="0" fontId="22" fillId="0" borderId="0" xfId="0" applyFont="1" applyBorder="1" applyAlignment="1" applyProtection="1">
      <alignment horizontal="center"/>
    </xf>
    <xf numFmtId="167" fontId="22" fillId="0" borderId="0" xfId="0" applyNumberFormat="1" applyFont="1" applyBorder="1" applyAlignment="1">
      <alignment horizontal="center"/>
    </xf>
    <xf numFmtId="168" fontId="22" fillId="0" borderId="0" xfId="0" applyNumberFormat="1" applyFont="1" applyBorder="1" applyAlignment="1" applyProtection="1">
      <alignment horizontal="center"/>
    </xf>
    <xf numFmtId="168" fontId="22" fillId="0" borderId="0" xfId="0" applyNumberFormat="1" applyFont="1" applyBorder="1" applyAlignment="1">
      <alignment horizontal="center"/>
    </xf>
    <xf numFmtId="167" fontId="22" fillId="0" borderId="0" xfId="0" applyNumberFormat="1" applyFont="1" applyFill="1" applyBorder="1" applyAlignment="1">
      <alignment horizontal="center"/>
    </xf>
    <xf numFmtId="165" fontId="22" fillId="0" borderId="0" xfId="0" applyNumberFormat="1" applyFont="1" applyBorder="1" applyAlignment="1" applyProtection="1">
      <alignment horizontal="center"/>
    </xf>
    <xf numFmtId="0" fontId="22" fillId="0" borderId="0" xfId="0" applyFont="1" applyFill="1" applyBorder="1" applyAlignment="1">
      <alignment horizontal="center"/>
    </xf>
    <xf numFmtId="168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2" fontId="22" fillId="0" borderId="0" xfId="0" applyNumberFormat="1" applyFont="1" applyBorder="1" applyAlignment="1">
      <alignment horizontal="center"/>
    </xf>
    <xf numFmtId="170" fontId="23" fillId="0" borderId="0" xfId="0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0" fillId="34" borderId="0" xfId="0" applyFill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Tabelle1!$T$1:$T$2</c:f>
              <c:strCache>
                <c:ptCount val="2"/>
                <c:pt idx="0">
                  <c:v>   Alter(korr.)</c:v>
                </c:pt>
                <c:pt idx="1">
                  <c:v>     (ka)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Tabelle1!$U$3:$U$37</c:f>
                <c:numCache>
                  <c:formatCode>General</c:formatCode>
                  <c:ptCount val="35"/>
                  <c:pt idx="0">
                    <c:v>0</c:v>
                  </c:pt>
                  <c:pt idx="2">
                    <c:v>501.8692047028</c:v>
                  </c:pt>
                  <c:pt idx="4">
                    <c:v>338.51356045099999</c:v>
                  </c:pt>
                  <c:pt idx="6">
                    <c:v>0</c:v>
                  </c:pt>
                  <c:pt idx="8">
                    <c:v>0</c:v>
                  </c:pt>
                  <c:pt idx="14">
                    <c:v>0</c:v>
                  </c:pt>
                  <c:pt idx="16">
                    <c:v>0</c:v>
                  </c:pt>
                  <c:pt idx="18">
                    <c:v>0</c:v>
                  </c:pt>
                  <c:pt idx="20">
                    <c:v>0</c:v>
                  </c:pt>
                  <c:pt idx="22">
                    <c:v>0</c:v>
                  </c:pt>
                  <c:pt idx="24">
                    <c:v>0</c:v>
                  </c:pt>
                  <c:pt idx="26">
                    <c:v>0</c:v>
                  </c:pt>
                  <c:pt idx="28">
                    <c:v>0</c:v>
                  </c:pt>
                  <c:pt idx="30">
                    <c:v>0</c:v>
                  </c:pt>
                  <c:pt idx="32">
                    <c:v>0</c:v>
                  </c:pt>
                  <c:pt idx="34">
                    <c:v>0</c:v>
                  </c:pt>
                </c:numCache>
              </c:numRef>
            </c:plus>
            <c:minus>
              <c:numRef>
                <c:f>Tabelle1!$U$3:$U$38</c:f>
                <c:numCache>
                  <c:formatCode>General</c:formatCode>
                  <c:ptCount val="36"/>
                  <c:pt idx="0">
                    <c:v>0</c:v>
                  </c:pt>
                  <c:pt idx="2">
                    <c:v>501.8692047028</c:v>
                  </c:pt>
                  <c:pt idx="4">
                    <c:v>338.51356045099999</c:v>
                  </c:pt>
                  <c:pt idx="6">
                    <c:v>0</c:v>
                  </c:pt>
                  <c:pt idx="8">
                    <c:v>0</c:v>
                  </c:pt>
                  <c:pt idx="14">
                    <c:v>0</c:v>
                  </c:pt>
                  <c:pt idx="16">
                    <c:v>0</c:v>
                  </c:pt>
                  <c:pt idx="18">
                    <c:v>0</c:v>
                  </c:pt>
                  <c:pt idx="20">
                    <c:v>0</c:v>
                  </c:pt>
                  <c:pt idx="22">
                    <c:v>0</c:v>
                  </c:pt>
                  <c:pt idx="24">
                    <c:v>0</c:v>
                  </c:pt>
                  <c:pt idx="26">
                    <c:v>0</c:v>
                  </c:pt>
                  <c:pt idx="28">
                    <c:v>0</c:v>
                  </c:pt>
                  <c:pt idx="30">
                    <c:v>0</c:v>
                  </c:pt>
                  <c:pt idx="32">
                    <c:v>0</c:v>
                  </c:pt>
                  <c:pt idx="3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Tabelle1!$AC$3:$AC$37</c:f>
              <c:numCache>
                <c:formatCode>General</c:formatCode>
                <c:ptCount val="3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xVal>
          <c:yVal>
            <c:numRef>
              <c:f>Tabelle1!$T$3:$T$37</c:f>
              <c:numCache>
                <c:formatCode>General</c:formatCode>
                <c:ptCount val="3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A5-403E-AC88-5267FD40C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46176"/>
        <c:axId val="1365246592"/>
      </c:scatterChart>
      <c:valAx>
        <c:axId val="136524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5246592"/>
        <c:crosses val="autoZero"/>
        <c:crossBetween val="midCat"/>
      </c:valAx>
      <c:valAx>
        <c:axId val="13652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524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466725</xdr:colOff>
      <xdr:row>4</xdr:row>
      <xdr:rowOff>123825</xdr:rowOff>
    </xdr:from>
    <xdr:to>
      <xdr:col>42</xdr:col>
      <xdr:colOff>666750</xdr:colOff>
      <xdr:row>29</xdr:row>
      <xdr:rowOff>157162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losani\data\TIMS,%20Neptune\Sophie_Closani_4%205cp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alc"/>
      <sheetName val="Korrektur"/>
      <sheetName val="Alter"/>
      <sheetName val="erg"/>
      <sheetName val="std"/>
      <sheetName val="ergalt"/>
      <sheetName val="Tabelle1"/>
      <sheetName val="Tabelle2"/>
    </sheetNames>
    <sheetDataSet>
      <sheetData sheetId="0"/>
      <sheetData sheetId="1"/>
      <sheetData sheetId="2"/>
      <sheetData sheetId="3"/>
      <sheetData sheetId="4">
        <row r="1">
          <cell r="A1" t="str">
            <v>Lab.Nr.</v>
          </cell>
          <cell r="B1" t="str">
            <v>Bezeich.</v>
          </cell>
          <cell r="C1" t="str">
            <v xml:space="preserve">   238U</v>
          </cell>
          <cell r="D1" t="str">
            <v xml:space="preserve">   Fehler</v>
          </cell>
          <cell r="E1" t="str">
            <v xml:space="preserve">   232Th</v>
          </cell>
          <cell r="F1" t="str">
            <v xml:space="preserve">   Fehler</v>
          </cell>
          <cell r="G1" t="str">
            <v>230Th/238U</v>
          </cell>
          <cell r="H1" t="str">
            <v>Fehler</v>
          </cell>
          <cell r="I1" t="str">
            <v>230Th/232Th</v>
          </cell>
          <cell r="J1" t="str">
            <v xml:space="preserve">   Fehler</v>
          </cell>
          <cell r="M1" t="str">
            <v>Alter(unkorr.)</v>
          </cell>
          <cell r="N1" t="str">
            <v>Fehler</v>
          </cell>
          <cell r="O1" t="str">
            <v xml:space="preserve">   Alter(korr.)</v>
          </cell>
          <cell r="P1" t="str">
            <v>Fehler</v>
          </cell>
          <cell r="Q1" t="str">
            <v>234U/238U (initial)</v>
          </cell>
          <cell r="R1" t="str">
            <v>error</v>
          </cell>
        </row>
        <row r="2">
          <cell r="C2" t="str">
            <v xml:space="preserve">   (ng/g)</v>
          </cell>
          <cell r="D2" t="str">
            <v xml:space="preserve">   (abso.)</v>
          </cell>
          <cell r="E2" t="str">
            <v xml:space="preserve">  (ng/g)</v>
          </cell>
          <cell r="F2" t="str">
            <v xml:space="preserve">    (abso.)</v>
          </cell>
          <cell r="G2" t="str">
            <v>(Akt.Ver.)</v>
          </cell>
          <cell r="H2" t="str">
            <v>(abso.)</v>
          </cell>
          <cell r="I2" t="str">
            <v>(Akt.Ver.)</v>
          </cell>
          <cell r="J2" t="str">
            <v xml:space="preserve">    (abso.)</v>
          </cell>
          <cell r="M2" t="str">
            <v>(ka)</v>
          </cell>
          <cell r="N2" t="str">
            <v>(ka)</v>
          </cell>
          <cell r="O2" t="str">
            <v xml:space="preserve">     (ka)</v>
          </cell>
          <cell r="P2" t="str">
            <v>(ka)</v>
          </cell>
          <cell r="Q2" t="str">
            <v>Akt.verh</v>
          </cell>
          <cell r="R2" t="str">
            <v xml:space="preserve">(abso.) 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indexed="32"/>
  </sheetPr>
  <dimension ref="A1:AB58"/>
  <sheetViews>
    <sheetView tabSelected="1" zoomScaleNormal="100" workbookViewId="0">
      <pane ySplit="2" topLeftCell="A12" activePane="bottomLeft" state="frozen"/>
      <selection activeCell="B1" sqref="B1"/>
      <selection pane="bottomLeft" activeCell="K18" sqref="K18"/>
    </sheetView>
  </sheetViews>
  <sheetFormatPr baseColWidth="10" defaultRowHeight="15" x14ac:dyDescent="0.25"/>
  <cols>
    <col min="1" max="1" width="9.5703125" customWidth="1"/>
    <col min="2" max="2" width="13.5703125" customWidth="1"/>
    <col min="3" max="3" width="15.28515625" customWidth="1"/>
    <col min="4" max="4" width="13.28515625" customWidth="1"/>
    <col min="5" max="5" width="13" bestFit="1" customWidth="1"/>
    <col min="6" max="7" width="11.5703125" bestFit="1" customWidth="1"/>
    <col min="8" max="8" width="18.42578125" bestFit="1" customWidth="1"/>
    <col min="9" max="9" width="11.5703125" customWidth="1"/>
    <col min="11" max="11" width="11.7109375" bestFit="1" customWidth="1"/>
    <col min="12" max="12" width="10.7109375" bestFit="1" customWidth="1"/>
    <col min="13" max="14" width="10.7109375" customWidth="1"/>
    <col min="15" max="15" width="12.7109375" bestFit="1" customWidth="1"/>
    <col min="16" max="19" width="13.140625" customWidth="1"/>
    <col min="21" max="21" width="15" customWidth="1"/>
    <col min="22" max="22" width="13.85546875" customWidth="1"/>
    <col min="23" max="23" width="16.85546875" customWidth="1"/>
    <col min="24" max="24" width="13.7109375" customWidth="1"/>
    <col min="25" max="25" width="14.28515625" customWidth="1"/>
    <col min="26" max="26" width="14" customWidth="1"/>
    <col min="27" max="27" width="15.28515625" bestFit="1" customWidth="1"/>
    <col min="28" max="28" width="12" bestFit="1" customWidth="1"/>
  </cols>
  <sheetData>
    <row r="1" spans="1:28" x14ac:dyDescent="0.25">
      <c r="A1" t="s">
        <v>55</v>
      </c>
      <c r="B1" t="s">
        <v>0</v>
      </c>
      <c r="C1" t="s">
        <v>56</v>
      </c>
      <c r="D1" t="s">
        <v>57</v>
      </c>
      <c r="E1" t="s">
        <v>2</v>
      </c>
      <c r="F1" t="s">
        <v>3</v>
      </c>
      <c r="G1" t="s">
        <v>92</v>
      </c>
      <c r="I1" t="s">
        <v>78</v>
      </c>
      <c r="J1" t="s">
        <v>79</v>
      </c>
      <c r="K1" t="s">
        <v>93</v>
      </c>
      <c r="L1" t="s">
        <v>4</v>
      </c>
      <c r="M1" t="s">
        <v>42</v>
      </c>
      <c r="N1" t="s">
        <v>4</v>
      </c>
      <c r="O1" t="s">
        <v>5</v>
      </c>
      <c r="P1" t="s">
        <v>6</v>
      </c>
      <c r="Q1" t="s">
        <v>80</v>
      </c>
      <c r="R1" t="s">
        <v>4</v>
      </c>
      <c r="S1" t="s">
        <v>7</v>
      </c>
      <c r="T1" t="s">
        <v>4</v>
      </c>
      <c r="U1" t="s">
        <v>8</v>
      </c>
      <c r="V1" t="s">
        <v>6</v>
      </c>
      <c r="W1" t="s">
        <v>9</v>
      </c>
      <c r="X1" t="s">
        <v>6</v>
      </c>
      <c r="Y1" t="s">
        <v>10</v>
      </c>
      <c r="Z1" t="s">
        <v>6</v>
      </c>
      <c r="AA1" t="s">
        <v>11</v>
      </c>
      <c r="AB1" s="36" t="s">
        <v>138</v>
      </c>
    </row>
    <row r="2" spans="1:28" x14ac:dyDescent="0.25">
      <c r="C2" t="s">
        <v>1</v>
      </c>
      <c r="E2" t="s">
        <v>12</v>
      </c>
      <c r="F2" t="s">
        <v>44</v>
      </c>
      <c r="G2" t="s">
        <v>44</v>
      </c>
      <c r="K2" t="s">
        <v>14</v>
      </c>
      <c r="L2" t="s">
        <v>13</v>
      </c>
      <c r="M2" t="s">
        <v>14</v>
      </c>
      <c r="N2" t="s">
        <v>13</v>
      </c>
      <c r="O2" t="s">
        <v>15</v>
      </c>
      <c r="P2" t="s">
        <v>16</v>
      </c>
      <c r="Q2" t="s">
        <v>14</v>
      </c>
      <c r="R2" t="s">
        <v>13</v>
      </c>
      <c r="S2" t="s">
        <v>14</v>
      </c>
      <c r="T2" t="s">
        <v>13</v>
      </c>
      <c r="V2" t="s">
        <v>17</v>
      </c>
      <c r="X2" t="s">
        <v>17</v>
      </c>
      <c r="Z2" t="s">
        <v>17</v>
      </c>
      <c r="AB2" s="36" t="s">
        <v>139</v>
      </c>
    </row>
    <row r="9" spans="1:28" x14ac:dyDescent="0.25">
      <c r="A9">
        <v>9186</v>
      </c>
      <c r="C9" t="s">
        <v>106</v>
      </c>
      <c r="D9" s="1">
        <v>43413</v>
      </c>
      <c r="F9" s="2">
        <v>1.0952999999999999</v>
      </c>
      <c r="G9" s="2">
        <v>10.346170000000001</v>
      </c>
      <c r="H9" s="35" t="s">
        <v>119</v>
      </c>
      <c r="I9" s="37">
        <v>9.9692801173275215E-3</v>
      </c>
      <c r="J9" s="37">
        <v>0.4520898421929036</v>
      </c>
      <c r="K9" s="37">
        <v>7.1777681368342724E-3</v>
      </c>
      <c r="L9" s="37">
        <v>6.103873466328116E-3</v>
      </c>
      <c r="M9" s="37">
        <v>2.69984585972793</v>
      </c>
      <c r="N9" s="37">
        <v>1.120906247751112E-2</v>
      </c>
      <c r="O9" s="37">
        <v>2.046636197755046</v>
      </c>
      <c r="P9" s="37">
        <v>0.44043232446469882</v>
      </c>
      <c r="Q9" s="37">
        <v>7.5561481534741851E-3</v>
      </c>
      <c r="R9" s="37">
        <v>0.12995880051090081</v>
      </c>
      <c r="S9" s="37">
        <v>5.4801953521327698E-5</v>
      </c>
      <c r="T9" s="37">
        <v>0.1299588005109007</v>
      </c>
      <c r="U9" s="37">
        <v>1.3070995374215639</v>
      </c>
      <c r="V9" s="37">
        <v>0.37192912632669722</v>
      </c>
      <c r="W9" s="37">
        <v>0.19514213038080061</v>
      </c>
      <c r="X9" s="37">
        <v>0.39902597868797662</v>
      </c>
      <c r="Y9" s="37">
        <v>0.2547799290699635</v>
      </c>
      <c r="Z9" s="37">
        <v>0.36494668946222492</v>
      </c>
      <c r="AB9">
        <f>(T9/100)*S9</f>
        <v>7.1219961452858783E-8</v>
      </c>
    </row>
    <row r="10" spans="1:28" x14ac:dyDescent="0.25">
      <c r="A10">
        <v>9715</v>
      </c>
      <c r="B10" t="s">
        <v>112</v>
      </c>
      <c r="C10" t="s">
        <v>105</v>
      </c>
      <c r="D10" s="1">
        <v>43413</v>
      </c>
      <c r="F10">
        <v>1.1410999999999999E-2</v>
      </c>
      <c r="G10">
        <v>9.8490000000000001E-3</v>
      </c>
      <c r="H10" s="35" t="s">
        <v>120</v>
      </c>
      <c r="I10" s="36">
        <v>6.0944864632371384E-3</v>
      </c>
      <c r="J10" s="36">
        <v>15.94316389804815</v>
      </c>
      <c r="K10" s="36">
        <v>7.175248086664387E-3</v>
      </c>
      <c r="L10" s="36">
        <v>6.0466424630700117E-3</v>
      </c>
      <c r="M10" s="36">
        <v>32.403263717422789</v>
      </c>
      <c r="N10" s="36">
        <v>0.13156427806744381</v>
      </c>
      <c r="O10" s="36">
        <v>67.094819880478795</v>
      </c>
      <c r="P10" s="36">
        <v>69.188557392013067</v>
      </c>
      <c r="Q10" s="36">
        <v>7.5734466190943896E-3</v>
      </c>
      <c r="R10" s="36">
        <v>0.14636233138073501</v>
      </c>
      <c r="S10" s="36">
        <v>5.4927412907466517E-5</v>
      </c>
      <c r="T10" s="36">
        <v>0.14636233138073479</v>
      </c>
      <c r="U10" s="36">
        <v>15.30933219515846</v>
      </c>
      <c r="V10" s="36">
        <v>0.76160840394349416</v>
      </c>
      <c r="W10" s="36">
        <v>5.9011126470244819E-2</v>
      </c>
      <c r="X10" s="36">
        <v>2.929932492543371</v>
      </c>
      <c r="Y10" s="36">
        <v>0.90330104878753092</v>
      </c>
      <c r="Z10" s="36">
        <v>2.842723571483857</v>
      </c>
      <c r="AB10" s="36">
        <f t="shared" ref="AB10:AB23" si="0">(T10/100)*S10</f>
        <v>8.0393042098490639E-8</v>
      </c>
    </row>
    <row r="11" spans="1:28" x14ac:dyDescent="0.25">
      <c r="A11">
        <v>9186</v>
      </c>
      <c r="C11" t="s">
        <v>106</v>
      </c>
      <c r="D11" s="1">
        <v>43413</v>
      </c>
      <c r="F11" s="2">
        <v>1.0952999999999999</v>
      </c>
      <c r="G11" s="2">
        <v>10.346170000000001</v>
      </c>
      <c r="H11" s="35" t="s">
        <v>121</v>
      </c>
      <c r="I11" s="37">
        <v>9.8817676214792999E-3</v>
      </c>
      <c r="J11" s="37">
        <v>0.42344145026353608</v>
      </c>
      <c r="K11" s="37">
        <v>7.1769445462175766E-3</v>
      </c>
      <c r="L11" s="37">
        <v>6.5015769654822482E-3</v>
      </c>
      <c r="M11" s="37">
        <v>2.6995830353124708</v>
      </c>
      <c r="N11" s="37">
        <v>8.4236639697657361E-3</v>
      </c>
      <c r="O11" s="37">
        <v>2.0635718201411</v>
      </c>
      <c r="P11" s="37">
        <v>0.45566667141200362</v>
      </c>
      <c r="Q11" s="37">
        <v>7.5447444995837554E-3</v>
      </c>
      <c r="R11" s="37">
        <v>0.11174556013140451</v>
      </c>
      <c r="S11" s="37">
        <v>5.4719247028841937E-5</v>
      </c>
      <c r="T11" s="37">
        <v>0.11174556013140501</v>
      </c>
      <c r="U11" s="37">
        <v>1.3082046991117759</v>
      </c>
      <c r="V11" s="37">
        <v>0.23115529537561511</v>
      </c>
      <c r="W11" s="37">
        <v>0.19451164290615411</v>
      </c>
      <c r="X11" s="37">
        <v>0.44526489505799849</v>
      </c>
      <c r="Y11" s="37">
        <v>0.25439911815161048</v>
      </c>
      <c r="Z11" s="37">
        <v>0.27702979519675169</v>
      </c>
      <c r="AB11" s="36">
        <f t="shared" si="0"/>
        <v>6.1146329092066618E-8</v>
      </c>
    </row>
    <row r="12" spans="1:28" x14ac:dyDescent="0.25">
      <c r="A12">
        <v>9716</v>
      </c>
      <c r="B12" t="s">
        <v>113</v>
      </c>
      <c r="C12" t="s">
        <v>105</v>
      </c>
      <c r="D12" s="1">
        <v>43413</v>
      </c>
      <c r="F12">
        <v>1.0943E-2</v>
      </c>
      <c r="G12">
        <v>9.3340000000000003E-3</v>
      </c>
      <c r="H12" s="35" t="s">
        <v>122</v>
      </c>
      <c r="I12" s="36">
        <v>9.8201154176338536E-3</v>
      </c>
      <c r="J12" s="36">
        <v>2.2340010930196179</v>
      </c>
      <c r="K12" s="36">
        <v>7.17408523159289E-3</v>
      </c>
      <c r="L12" s="36">
        <v>5.7885624971749901E-3</v>
      </c>
      <c r="M12" s="36">
        <v>7.5025724014821682</v>
      </c>
      <c r="N12" s="36">
        <v>2.5866610888126092E-2</v>
      </c>
      <c r="O12" s="36">
        <v>5.8486363759909494</v>
      </c>
      <c r="P12" s="36">
        <v>2.2780328963537908</v>
      </c>
      <c r="Q12" s="36">
        <v>7.582901838381435E-3</v>
      </c>
      <c r="R12" s="36">
        <v>0.165114332335523</v>
      </c>
      <c r="S12" s="36">
        <v>5.4995988122957017E-5</v>
      </c>
      <c r="T12" s="36">
        <v>0.1651143323355232</v>
      </c>
      <c r="U12" s="36">
        <v>3.6020218729056488</v>
      </c>
      <c r="V12" s="36">
        <v>0.44046842789067242</v>
      </c>
      <c r="W12" s="36">
        <v>5.8453744616459753E-3</v>
      </c>
      <c r="X12" s="36">
        <v>0.43650371626272477</v>
      </c>
      <c r="Y12" s="36">
        <v>2.1075607415423671E-2</v>
      </c>
      <c r="Z12" s="36">
        <v>0.21544469311751349</v>
      </c>
      <c r="AB12" s="36">
        <f t="shared" si="0"/>
        <v>9.0806258600544118E-8</v>
      </c>
    </row>
    <row r="13" spans="1:28" x14ac:dyDescent="0.25">
      <c r="A13">
        <v>9186</v>
      </c>
      <c r="C13" t="s">
        <v>106</v>
      </c>
      <c r="D13" s="1">
        <v>43413</v>
      </c>
      <c r="F13" s="2">
        <v>1.0952999999999999</v>
      </c>
      <c r="G13" s="2">
        <v>10.346170000000001</v>
      </c>
      <c r="H13" s="35" t="s">
        <v>123</v>
      </c>
      <c r="I13" s="37">
        <v>9.8984631707336665E-3</v>
      </c>
      <c r="J13" s="37">
        <v>0.39500129089492031</v>
      </c>
      <c r="K13" s="37">
        <v>7.1775346253002024E-3</v>
      </c>
      <c r="L13" s="37">
        <v>5.4650416015312011E-3</v>
      </c>
      <c r="M13" s="37">
        <v>2.6994833929612581</v>
      </c>
      <c r="N13" s="37">
        <v>9.4000054280791619E-3</v>
      </c>
      <c r="O13" s="37">
        <v>2.0619787959391229</v>
      </c>
      <c r="P13" s="37">
        <v>0.406824831641942</v>
      </c>
      <c r="Q13" s="37">
        <v>7.5614922046286703E-3</v>
      </c>
      <c r="R13" s="37">
        <v>9.847563815660898E-2</v>
      </c>
      <c r="S13" s="37">
        <v>5.4840711951818378E-5</v>
      </c>
      <c r="T13" s="37">
        <v>9.847563815660948E-2</v>
      </c>
      <c r="U13" s="37">
        <v>1.3071266979437139</v>
      </c>
      <c r="V13" s="37">
        <v>0.32678224198096678</v>
      </c>
      <c r="W13" s="37">
        <v>0.19472871787260521</v>
      </c>
      <c r="X13" s="37">
        <v>0.45587151612421378</v>
      </c>
      <c r="Y13" s="37">
        <v>0.25458543299936581</v>
      </c>
      <c r="Z13" s="37">
        <v>0.29032086243507782</v>
      </c>
      <c r="AB13" s="36">
        <f t="shared" si="0"/>
        <v>5.4004741064181149E-8</v>
      </c>
    </row>
    <row r="14" spans="1:28" x14ac:dyDescent="0.25">
      <c r="A14">
        <v>9717</v>
      </c>
      <c r="B14" t="s">
        <v>114</v>
      </c>
      <c r="C14" t="s">
        <v>105</v>
      </c>
      <c r="D14" s="1">
        <v>43413</v>
      </c>
      <c r="F14">
        <v>6.7349999999999997E-3</v>
      </c>
      <c r="G14">
        <v>9.9930000000000001E-3</v>
      </c>
      <c r="H14" s="35" t="s">
        <v>124</v>
      </c>
      <c r="I14" s="36">
        <v>9.6099602730395587E-3</v>
      </c>
      <c r="J14" s="36">
        <v>3.6090488397588079</v>
      </c>
      <c r="K14" s="36">
        <v>7.1744571573547434E-3</v>
      </c>
      <c r="L14" s="36">
        <v>3.9289373393024303E-3</v>
      </c>
      <c r="M14" s="36">
        <v>24.418427483534192</v>
      </c>
      <c r="N14" s="36">
        <v>3.3212307179411232E-2</v>
      </c>
      <c r="O14" s="36">
        <v>19.486736274415041</v>
      </c>
      <c r="P14" s="36">
        <v>3.5318769612483298</v>
      </c>
      <c r="Q14" s="36">
        <v>7.5594495090698967E-3</v>
      </c>
      <c r="R14" s="36">
        <v>7.4132026364834125E-2</v>
      </c>
      <c r="S14" s="36">
        <v>5.4825897034906158E-5</v>
      </c>
      <c r="T14" s="36">
        <v>7.4132026364833625E-2</v>
      </c>
      <c r="U14" s="36">
        <v>11.531312857939129</v>
      </c>
      <c r="V14" s="36">
        <v>0.37879242788213641</v>
      </c>
      <c r="W14" s="36">
        <v>9.8297381953011367E-2</v>
      </c>
      <c r="X14" s="36">
        <v>1.4926743839320831</v>
      </c>
      <c r="Y14" s="36">
        <v>1.134330019521224</v>
      </c>
      <c r="Z14" s="36">
        <v>1.40067714097342</v>
      </c>
      <c r="AB14" s="36">
        <f t="shared" si="0"/>
        <v>4.0643548444673171E-8</v>
      </c>
    </row>
    <row r="15" spans="1:28" x14ac:dyDescent="0.25">
      <c r="A15">
        <v>9186</v>
      </c>
      <c r="C15" t="s">
        <v>106</v>
      </c>
      <c r="D15" s="1">
        <v>43413</v>
      </c>
      <c r="F15" s="2">
        <v>1.0952999999999999</v>
      </c>
      <c r="G15" s="2">
        <v>10.346170000000001</v>
      </c>
      <c r="H15" s="35" t="s">
        <v>125</v>
      </c>
      <c r="I15" s="37">
        <v>9.9376902539739867E-3</v>
      </c>
      <c r="J15" s="37">
        <v>0.37892918506448142</v>
      </c>
      <c r="K15" s="37">
        <v>7.176026117582307E-3</v>
      </c>
      <c r="L15" s="37">
        <v>4.6699676002250404E-3</v>
      </c>
      <c r="M15" s="37">
        <v>2.699309545259597</v>
      </c>
      <c r="N15" s="37">
        <v>6.8288338683132098E-3</v>
      </c>
      <c r="O15" s="37">
        <v>2.0511607493125878</v>
      </c>
      <c r="P15" s="37">
        <v>0.43284490265236392</v>
      </c>
      <c r="Q15" s="37">
        <v>7.5529777718242128E-3</v>
      </c>
      <c r="R15" s="37">
        <v>8.3738839431010653E-2</v>
      </c>
      <c r="S15" s="37">
        <v>5.477895991343415E-5</v>
      </c>
      <c r="T15" s="37">
        <v>8.3738839431011222E-2</v>
      </c>
      <c r="U15" s="37">
        <v>1.3056623931492259</v>
      </c>
      <c r="V15" s="37">
        <v>0.31261627919046392</v>
      </c>
      <c r="W15" s="37">
        <v>0.19538272997017811</v>
      </c>
      <c r="X15" s="37">
        <v>0.46384049137572481</v>
      </c>
      <c r="Y15" s="37">
        <v>0.2551557351932992</v>
      </c>
      <c r="Z15" s="37">
        <v>0.25566046543892729</v>
      </c>
      <c r="AB15" s="36">
        <f t="shared" si="0"/>
        <v>4.5871265283888627E-8</v>
      </c>
    </row>
    <row r="16" spans="1:28" x14ac:dyDescent="0.25">
      <c r="A16">
        <v>9718</v>
      </c>
      <c r="B16" t="s">
        <v>115</v>
      </c>
      <c r="C16" t="s">
        <v>105</v>
      </c>
      <c r="D16" s="1">
        <v>43413</v>
      </c>
      <c r="F16">
        <v>1.24E-2</v>
      </c>
      <c r="G16">
        <v>9.6200000000000001E-3</v>
      </c>
      <c r="H16" s="35" t="s">
        <v>126</v>
      </c>
      <c r="I16" s="36">
        <v>9.4400963505737734E-3</v>
      </c>
      <c r="J16" s="36">
        <v>2.9631414737349728</v>
      </c>
      <c r="K16" s="36">
        <v>7.1752985965829394E-3</v>
      </c>
      <c r="L16" s="36">
        <v>3.2951123785923018E-3</v>
      </c>
      <c r="M16" s="36">
        <v>33.457010076556088</v>
      </c>
      <c r="N16" s="36">
        <v>3.3966832026653397E-2</v>
      </c>
      <c r="O16" s="36">
        <v>26.7749323068</v>
      </c>
      <c r="P16" s="36">
        <v>3.1781577335178959</v>
      </c>
      <c r="Q16" s="36">
        <v>7.5704111771378356E-3</v>
      </c>
      <c r="R16" s="36">
        <v>6.2414012634874269E-2</v>
      </c>
      <c r="S16" s="36">
        <v>5.490539796736197E-5</v>
      </c>
      <c r="T16" s="36">
        <v>6.2414012634873998E-2</v>
      </c>
      <c r="U16" s="36">
        <v>15.760122685796601</v>
      </c>
      <c r="V16" s="36">
        <v>0.43047447129551708</v>
      </c>
      <c r="W16" s="36">
        <v>1.118110551768327E-2</v>
      </c>
      <c r="X16" s="36">
        <v>0.55782031040236579</v>
      </c>
      <c r="Y16" s="36">
        <v>0.17623625963276451</v>
      </c>
      <c r="Z16" s="36">
        <v>0.35246731919753532</v>
      </c>
      <c r="AB16" s="36">
        <f t="shared" si="0"/>
        <v>3.4268662024577149E-8</v>
      </c>
    </row>
    <row r="17" spans="1:28" x14ac:dyDescent="0.25">
      <c r="A17">
        <v>9186</v>
      </c>
      <c r="C17" t="s">
        <v>106</v>
      </c>
      <c r="D17" s="1">
        <v>43413</v>
      </c>
      <c r="F17" s="2">
        <v>1.0952999999999999</v>
      </c>
      <c r="G17" s="2">
        <v>10.346170000000001</v>
      </c>
      <c r="H17" s="35" t="s">
        <v>127</v>
      </c>
      <c r="I17" s="37">
        <v>9.8836204400802249E-3</v>
      </c>
      <c r="J17" s="37">
        <v>0.48705964687923348</v>
      </c>
      <c r="K17" s="37">
        <v>7.175779198353556E-3</v>
      </c>
      <c r="L17" s="37">
        <v>5.3762457626917544E-3</v>
      </c>
      <c r="M17" s="37">
        <v>2.6994639770549971</v>
      </c>
      <c r="N17" s="37">
        <v>7.3663687583021787E-3</v>
      </c>
      <c r="O17" s="37">
        <v>2.0600448507810172</v>
      </c>
      <c r="P17" s="37">
        <v>0.48145024846504092</v>
      </c>
      <c r="Q17" s="37">
        <v>7.5462209771220423E-3</v>
      </c>
      <c r="R17" s="37">
        <v>0.1052178306191872</v>
      </c>
      <c r="S17" s="37">
        <v>5.4729955375447249E-5</v>
      </c>
      <c r="T17" s="37">
        <v>0.1052178306191881</v>
      </c>
      <c r="U17" s="37">
        <v>1.305113624554582</v>
      </c>
      <c r="V17" s="37">
        <v>0.28732365981030628</v>
      </c>
      <c r="W17" s="37">
        <v>0.1952314029601841</v>
      </c>
      <c r="X17" s="37">
        <v>0.45987421211888552</v>
      </c>
      <c r="Y17" s="37">
        <v>0.25525662398817728</v>
      </c>
      <c r="Z17" s="37">
        <v>0.2917540574804503</v>
      </c>
      <c r="AB17" s="36">
        <f t="shared" si="0"/>
        <v>5.758567174489532E-8</v>
      </c>
    </row>
    <row r="18" spans="1:28" x14ac:dyDescent="0.25">
      <c r="A18">
        <v>9719</v>
      </c>
      <c r="B18" t="s">
        <v>116</v>
      </c>
      <c r="C18" t="s">
        <v>105</v>
      </c>
      <c r="D18" s="1">
        <v>43413</v>
      </c>
      <c r="F18">
        <v>1.2500000000000001E-2</v>
      </c>
      <c r="G18">
        <v>9.4280000000000006E-3</v>
      </c>
      <c r="H18" s="35" t="s">
        <v>128</v>
      </c>
      <c r="I18" s="36">
        <v>9.4874033545552725E-3</v>
      </c>
      <c r="J18" s="36">
        <v>2.53644352667617</v>
      </c>
      <c r="K18" s="36">
        <v>7.1735637185194861E-3</v>
      </c>
      <c r="L18" s="36">
        <v>3.0690060085337592E-3</v>
      </c>
      <c r="M18" s="36">
        <v>31.720879153273788</v>
      </c>
      <c r="N18" s="36">
        <v>2.6743130400860921E-2</v>
      </c>
      <c r="O18" s="36">
        <v>25.337552824466801</v>
      </c>
      <c r="P18" s="36">
        <v>2.5376692343365028</v>
      </c>
      <c r="Q18" s="36">
        <v>7.566562887130689E-3</v>
      </c>
      <c r="R18" s="36">
        <v>6.1609668034858227E-2</v>
      </c>
      <c r="S18" s="36">
        <v>5.4877487740375313E-5</v>
      </c>
      <c r="T18" s="36">
        <v>6.1609668034858442E-2</v>
      </c>
      <c r="U18" s="36">
        <v>15.022854346747099</v>
      </c>
      <c r="V18" s="36">
        <v>0.26078070783634222</v>
      </c>
      <c r="W18" s="36">
        <v>4.8731082558639408E-4</v>
      </c>
      <c r="X18" s="36">
        <v>0.27025001689614653</v>
      </c>
      <c r="Y18" s="36">
        <v>7.3291620230437077E-3</v>
      </c>
      <c r="Z18" s="36">
        <v>6.2761752475159957E-2</v>
      </c>
      <c r="AB18" s="36">
        <f t="shared" si="0"/>
        <v>3.380983802271537E-8</v>
      </c>
    </row>
    <row r="19" spans="1:28" x14ac:dyDescent="0.25">
      <c r="A19">
        <v>9186</v>
      </c>
      <c r="C19" t="s">
        <v>106</v>
      </c>
      <c r="D19" s="1">
        <v>43413</v>
      </c>
      <c r="F19" s="2">
        <v>1.0952999999999999</v>
      </c>
      <c r="G19" s="2">
        <v>10.346170000000001</v>
      </c>
      <c r="H19" s="35" t="s">
        <v>129</v>
      </c>
      <c r="I19" s="37">
        <v>9.9429558139914383E-3</v>
      </c>
      <c r="J19" s="37">
        <v>0.47813541067217907</v>
      </c>
      <c r="K19" s="37">
        <v>7.1753565769171841E-3</v>
      </c>
      <c r="L19" s="37">
        <v>4.395947462145746E-3</v>
      </c>
      <c r="M19" s="37">
        <v>2.699597622255987</v>
      </c>
      <c r="N19" s="37">
        <v>6.9327520045642426E-3</v>
      </c>
      <c r="O19" s="37">
        <v>2.049710078689774</v>
      </c>
      <c r="P19" s="37">
        <v>0.48553582116794441</v>
      </c>
      <c r="Q19" s="37">
        <v>7.5486304679736344E-3</v>
      </c>
      <c r="R19" s="37">
        <v>8.9240696642902184E-2</v>
      </c>
      <c r="S19" s="37">
        <v>5.474743052323115E-5</v>
      </c>
      <c r="T19" s="37">
        <v>8.9240696642900533E-2</v>
      </c>
      <c r="U19" s="37">
        <v>1.3066724939201999</v>
      </c>
      <c r="V19" s="37">
        <v>0.21597360890077061</v>
      </c>
      <c r="W19" s="37">
        <v>0.1946950519444107</v>
      </c>
      <c r="X19" s="37">
        <v>0.32510716356780123</v>
      </c>
      <c r="Y19" s="37">
        <v>0.25441053317413259</v>
      </c>
      <c r="Z19" s="37">
        <v>0.22091697810387589</v>
      </c>
      <c r="AB19" s="36">
        <f t="shared" si="0"/>
        <v>4.8856988393019438E-8</v>
      </c>
    </row>
    <row r="20" spans="1:28" x14ac:dyDescent="0.25">
      <c r="A20">
        <v>9720</v>
      </c>
      <c r="B20" t="s">
        <v>117</v>
      </c>
      <c r="C20" t="s">
        <v>105</v>
      </c>
      <c r="D20" s="1">
        <v>43413</v>
      </c>
      <c r="F20">
        <v>1.4970000000000001E-2</v>
      </c>
      <c r="G20">
        <v>1.0175E-2</v>
      </c>
      <c r="H20" s="35" t="s">
        <v>130</v>
      </c>
      <c r="I20" s="36">
        <v>8.7557996923473148E-3</v>
      </c>
      <c r="J20" s="36">
        <v>2.9618539794812402</v>
      </c>
      <c r="K20" s="36">
        <v>7.1740501058414341E-3</v>
      </c>
      <c r="L20" s="36">
        <v>3.691460229459285E-3</v>
      </c>
      <c r="M20" s="36">
        <v>19.644058462585509</v>
      </c>
      <c r="N20" s="36">
        <v>2.485576683611989E-2</v>
      </c>
      <c r="O20" s="36">
        <v>17.09807045289071</v>
      </c>
      <c r="P20" s="36">
        <v>2.9690441561919778</v>
      </c>
      <c r="Q20" s="36">
        <v>7.5644903484168328E-3</v>
      </c>
      <c r="R20" s="36">
        <v>6.8103542618712223E-2</v>
      </c>
      <c r="S20" s="36">
        <v>5.4862456382074633E-5</v>
      </c>
      <c r="T20" s="36">
        <v>6.8103542618711557E-2</v>
      </c>
      <c r="U20" s="36">
        <v>9.3308389817628026</v>
      </c>
      <c r="V20" s="36">
        <v>0.35623352048266033</v>
      </c>
      <c r="W20" s="36">
        <v>2.2265804947296949E-2</v>
      </c>
      <c r="X20" s="36">
        <v>0.63652024192692191</v>
      </c>
      <c r="Y20" s="36">
        <v>0.20742624178727739</v>
      </c>
      <c r="Z20" s="36">
        <v>0.50946121562752444</v>
      </c>
      <c r="AB20" s="36">
        <f t="shared" si="0"/>
        <v>3.7363276363838235E-8</v>
      </c>
    </row>
    <row r="21" spans="1:28" x14ac:dyDescent="0.25">
      <c r="A21">
        <v>9186</v>
      </c>
      <c r="C21" t="s">
        <v>106</v>
      </c>
      <c r="D21" s="1">
        <v>43413</v>
      </c>
      <c r="F21" s="2">
        <v>1.0952999999999999</v>
      </c>
      <c r="G21" s="2">
        <v>10.346170000000001</v>
      </c>
      <c r="H21" s="35" t="s">
        <v>131</v>
      </c>
      <c r="I21" s="37">
        <v>9.8575521712069326E-3</v>
      </c>
      <c r="J21" s="37">
        <v>0.45976033489357748</v>
      </c>
      <c r="K21" s="37">
        <v>7.1755243266621114E-3</v>
      </c>
      <c r="L21" s="37">
        <v>4.9897797009280072E-3</v>
      </c>
      <c r="M21" s="37">
        <v>2.6992608406338601</v>
      </c>
      <c r="N21" s="37">
        <v>8.384063810247094E-3</v>
      </c>
      <c r="O21" s="37">
        <v>2.0653466426062481</v>
      </c>
      <c r="P21" s="37">
        <v>0.45013974667176659</v>
      </c>
      <c r="Q21" s="37">
        <v>7.5502065391353356E-3</v>
      </c>
      <c r="R21" s="37">
        <v>7.9329111934863278E-2</v>
      </c>
      <c r="S21" s="37">
        <v>5.4758861185626242E-5</v>
      </c>
      <c r="T21" s="37">
        <v>7.9329111934863306E-2</v>
      </c>
      <c r="U21" s="37">
        <v>1.3044822945105481</v>
      </c>
      <c r="V21" s="37">
        <v>0.23634114640518231</v>
      </c>
      <c r="W21" s="37">
        <v>0.19372956732886509</v>
      </c>
      <c r="X21" s="37">
        <v>0.42310080550752238</v>
      </c>
      <c r="Y21" s="37">
        <v>0.25284772520112392</v>
      </c>
      <c r="Z21" s="37">
        <v>0.38166893867248269</v>
      </c>
      <c r="AB21" s="36">
        <f t="shared" si="0"/>
        <v>4.3439718284201861E-8</v>
      </c>
    </row>
    <row r="22" spans="1:28" x14ac:dyDescent="0.25">
      <c r="A22">
        <v>9721</v>
      </c>
      <c r="B22" t="s">
        <v>118</v>
      </c>
      <c r="C22" t="s">
        <v>105</v>
      </c>
      <c r="D22" s="1">
        <v>43413</v>
      </c>
      <c r="F22">
        <v>1.2017999999999999E-2</v>
      </c>
      <c r="G22">
        <v>9.7479999999999997E-3</v>
      </c>
      <c r="H22" s="35" t="s">
        <v>132</v>
      </c>
      <c r="I22" s="36">
        <v>9.5552373044780117E-3</v>
      </c>
      <c r="J22" s="36">
        <v>2.3359840213348328</v>
      </c>
      <c r="K22" s="36">
        <v>7.1726776530846399E-3</v>
      </c>
      <c r="L22" s="36">
        <v>2.9343104872197618E-3</v>
      </c>
      <c r="M22" s="36">
        <v>26.137502130572319</v>
      </c>
      <c r="N22" s="36">
        <v>2.0679926455400399E-2</v>
      </c>
      <c r="O22" s="36">
        <v>20.790527895550198</v>
      </c>
      <c r="P22" s="36">
        <v>2.4309074813522131</v>
      </c>
      <c r="Q22" s="36">
        <v>7.566497634100648E-3</v>
      </c>
      <c r="R22" s="36">
        <v>5.200680597616672E-2</v>
      </c>
      <c r="S22" s="36">
        <v>5.4877014484233843E-5</v>
      </c>
      <c r="T22" s="36">
        <v>5.2006805976166769E-2</v>
      </c>
      <c r="U22" s="36">
        <v>12.44906434466002</v>
      </c>
      <c r="V22" s="36">
        <v>0.2349292894137989</v>
      </c>
      <c r="W22" s="36">
        <v>8.4411197358189689E-4</v>
      </c>
      <c r="X22" s="36">
        <v>0.22061985382408431</v>
      </c>
      <c r="Y22" s="36">
        <v>1.0507327599552391E-2</v>
      </c>
      <c r="Z22" s="36">
        <v>5.8456214117576177E-2</v>
      </c>
      <c r="AB22" s="36">
        <f t="shared" si="0"/>
        <v>2.8539782448328427E-8</v>
      </c>
    </row>
    <row r="23" spans="1:28" x14ac:dyDescent="0.25">
      <c r="A23">
        <v>9186</v>
      </c>
      <c r="C23" t="s">
        <v>106</v>
      </c>
      <c r="D23" s="1">
        <v>43413</v>
      </c>
      <c r="F23" s="2">
        <v>1.0952999999999999</v>
      </c>
      <c r="G23" s="2">
        <v>10.346170000000001</v>
      </c>
      <c r="H23" s="35" t="s">
        <v>133</v>
      </c>
      <c r="I23" s="37">
        <v>9.9333532868650324E-3</v>
      </c>
      <c r="J23" s="37">
        <v>0.39329276797231438</v>
      </c>
      <c r="K23" s="37">
        <v>7.1753385885426719E-3</v>
      </c>
      <c r="L23" s="37">
        <v>3.9763374018787863E-3</v>
      </c>
      <c r="M23" s="37">
        <v>2.6992470625863949</v>
      </c>
      <c r="N23" s="37">
        <v>6.3245506326214552E-3</v>
      </c>
      <c r="O23" s="37">
        <v>2.052985398839601</v>
      </c>
      <c r="P23" s="37">
        <v>0.39747680720122852</v>
      </c>
      <c r="Q23" s="37">
        <v>7.5447698762351493E-3</v>
      </c>
      <c r="R23" s="37">
        <v>0.1021492932287154</v>
      </c>
      <c r="S23" s="37">
        <v>5.471943107632778E-5</v>
      </c>
      <c r="T23" s="37">
        <v>0.10214929322871601</v>
      </c>
      <c r="U23" s="37">
        <v>1.305332127505846</v>
      </c>
      <c r="V23" s="37">
        <v>0.33927705742463132</v>
      </c>
      <c r="W23" s="37">
        <v>0.19511968022137391</v>
      </c>
      <c r="X23" s="37">
        <v>0.44781040102034858</v>
      </c>
      <c r="Y23" s="37">
        <v>0.25432402451128427</v>
      </c>
      <c r="Z23" s="37">
        <v>0.28583310977384119</v>
      </c>
      <c r="AB23" s="36">
        <f t="shared" si="0"/>
        <v>5.5895512103243221E-8</v>
      </c>
    </row>
    <row r="25" spans="1:28" x14ac:dyDescent="0.25">
      <c r="A25" t="s">
        <v>134</v>
      </c>
      <c r="I25">
        <f>AVERAGE(I9:I23)</f>
        <v>9.4711854487682014E-3</v>
      </c>
      <c r="K25">
        <f>AVERAGE(K9:K23)</f>
        <v>7.175310177736695E-3</v>
      </c>
      <c r="M25">
        <f>AVERAGE(M9:M23)</f>
        <v>13.125300317414625</v>
      </c>
      <c r="O25">
        <f>AVERAGE(O9:O23)</f>
        <v>13.258847369643801</v>
      </c>
      <c r="Q25">
        <f>AVERAGE(Q9:Q23)</f>
        <v>7.5592633668872481E-3</v>
      </c>
      <c r="S25">
        <f t="shared" ref="S25" si="1">AVERAGE(S9:S23)</f>
        <v>5.4824547014361991E-5</v>
      </c>
      <c r="U25">
        <f t="shared" ref="U25" si="2">AVERAGE(U9:U23)</f>
        <v>6.2303494102058146</v>
      </c>
      <c r="W25">
        <f t="shared" ref="W25" si="3">AVERAGE(W9:W23)</f>
        <v>0.11709820931557482</v>
      </c>
      <c r="Y25">
        <f t="shared" ref="Y25" si="4">AVERAGE(Y9:Y23)</f>
        <v>0.29973098593705155</v>
      </c>
    </row>
    <row r="26" spans="1:28" x14ac:dyDescent="0.25">
      <c r="A26" t="s">
        <v>135</v>
      </c>
      <c r="I26">
        <f>STDEV(I9:I23)</f>
        <v>9.8689972424642874E-4</v>
      </c>
      <c r="K26">
        <f>STDEV(K9:K23)</f>
        <v>1.4203237436545477E-6</v>
      </c>
      <c r="M26">
        <f>STDEV(M9:M23)</f>
        <v>13.014711704061281</v>
      </c>
      <c r="O26">
        <f>STDEV(O9:O23)</f>
        <v>17.720063292404678</v>
      </c>
      <c r="Q26">
        <f>STDEV(Q9:Q23)</f>
        <v>1.1518363008451178E-5</v>
      </c>
      <c r="S26">
        <f t="shared" ref="S26" si="5">STDEV(S9:S23)</f>
        <v>8.353843537870714E-8</v>
      </c>
      <c r="U26">
        <f t="shared" ref="U26" si="6">STDEV(U9:U23)</f>
        <v>6.1401691824267877</v>
      </c>
      <c r="W26">
        <f t="shared" ref="W26" si="7">STDEV(W9:W23)</f>
        <v>8.9344415603517482E-2</v>
      </c>
      <c r="Y26">
        <f t="shared" ref="Y26" si="8">STDEV(Y9:Y23)</f>
        <v>0.31027796826483339</v>
      </c>
    </row>
    <row r="28" spans="1:28" ht="13.5" customHeight="1" x14ac:dyDescent="0.25"/>
    <row r="30" spans="1:28" ht="13.5" customHeight="1" x14ac:dyDescent="0.25"/>
    <row r="34" ht="13.5" customHeight="1" x14ac:dyDescent="0.25"/>
    <row r="38" ht="13.5" customHeight="1" x14ac:dyDescent="0.25"/>
    <row r="42" ht="13.5" customHeight="1" x14ac:dyDescent="0.25"/>
    <row r="46" ht="13.5" customHeight="1" x14ac:dyDescent="0.25"/>
    <row r="50" ht="13.5" customHeight="1" x14ac:dyDescent="0.25"/>
    <row r="54" ht="13.5" customHeight="1" x14ac:dyDescent="0.25"/>
    <row r="57" ht="13.5" customHeight="1" x14ac:dyDescent="0.25"/>
    <row r="58" ht="13.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tabColor indexed="10"/>
  </sheetPr>
  <dimension ref="A1:BO343"/>
  <sheetViews>
    <sheetView topLeftCell="AL1" workbookViewId="0">
      <pane ySplit="2" topLeftCell="A9" activePane="bottomLeft" state="frozen"/>
      <selection pane="bottomLeft" activeCell="AF9" sqref="AF9"/>
    </sheetView>
  </sheetViews>
  <sheetFormatPr baseColWidth="10" defaultRowHeight="15" x14ac:dyDescent="0.25"/>
  <cols>
    <col min="1" max="1" width="23.7109375" bestFit="1" customWidth="1"/>
    <col min="2" max="2" width="37.42578125" bestFit="1" customWidth="1"/>
    <col min="3" max="3" width="13.5703125" customWidth="1"/>
    <col min="4" max="4" width="12.5703125" customWidth="1"/>
    <col min="5" max="5" width="12.28515625" bestFit="1" customWidth="1"/>
    <col min="6" max="6" width="13.5703125" customWidth="1"/>
    <col min="7" max="7" width="12.28515625" bestFit="1" customWidth="1"/>
    <col min="8" max="8" width="14.5703125" customWidth="1"/>
    <col min="10" max="10" width="15.28515625" bestFit="1" customWidth="1"/>
    <col min="11" max="11" width="12.7109375" customWidth="1"/>
    <col min="12" max="12" width="12.85546875" customWidth="1"/>
    <col min="13" max="13" width="14.7109375" customWidth="1"/>
    <col min="15" max="15" width="13" bestFit="1" customWidth="1"/>
    <col min="16" max="16" width="14.7109375" customWidth="1"/>
    <col min="17" max="17" width="14.140625" bestFit="1" customWidth="1"/>
    <col min="18" max="18" width="15.28515625" customWidth="1"/>
    <col min="19" max="19" width="15.28515625" bestFit="1" customWidth="1"/>
    <col min="20" max="20" width="14.28515625" customWidth="1"/>
    <col min="21" max="21" width="15.7109375" bestFit="1" customWidth="1"/>
    <col min="22" max="22" width="14.28515625" customWidth="1"/>
    <col min="23" max="23" width="11.85546875" bestFit="1" customWidth="1"/>
    <col min="24" max="24" width="15.28515625" customWidth="1"/>
    <col min="25" max="25" width="15" customWidth="1"/>
    <col min="26" max="26" width="13.140625" customWidth="1"/>
    <col min="27" max="27" width="14" bestFit="1" customWidth="1"/>
    <col min="28" max="28" width="11.85546875" customWidth="1"/>
    <col min="30" max="30" width="14.140625" bestFit="1" customWidth="1"/>
    <col min="31" max="31" width="14" customWidth="1"/>
    <col min="32" max="32" width="13.28515625" customWidth="1"/>
    <col min="33" max="33" width="12.7109375" customWidth="1"/>
    <col min="34" max="34" width="15.28515625" bestFit="1" customWidth="1"/>
    <col min="35" max="35" width="15" customWidth="1"/>
    <col min="36" max="36" width="19.5703125" customWidth="1"/>
    <col min="37" max="37" width="12.85546875" customWidth="1"/>
    <col min="38" max="38" width="16.85546875" customWidth="1"/>
    <col min="39" max="39" width="12.85546875" customWidth="1"/>
    <col min="40" max="40" width="18.5703125" customWidth="1"/>
    <col min="41" max="41" width="16.42578125" customWidth="1"/>
    <col min="42" max="42" width="15.7109375" customWidth="1"/>
    <col min="43" max="43" width="14.85546875" customWidth="1"/>
    <col min="44" max="44" width="12.7109375" customWidth="1"/>
    <col min="45" max="45" width="16.28515625" customWidth="1"/>
    <col min="46" max="46" width="16.42578125" customWidth="1"/>
    <col min="47" max="47" width="18.85546875" customWidth="1"/>
    <col min="48" max="48" width="13.85546875" customWidth="1"/>
    <col min="49" max="49" width="14.7109375" customWidth="1"/>
    <col min="50" max="51" width="17" customWidth="1"/>
    <col min="52" max="52" width="32.42578125" bestFit="1" customWidth="1"/>
    <col min="54" max="54" width="16.42578125" customWidth="1"/>
    <col min="55" max="55" width="17" customWidth="1"/>
    <col min="56" max="57" width="17.140625" customWidth="1"/>
    <col min="58" max="58" width="11.5703125" customWidth="1"/>
    <col min="59" max="59" width="12.140625" bestFit="1" customWidth="1"/>
    <col min="60" max="60" width="12" bestFit="1" customWidth="1"/>
    <col min="61" max="61" width="19.28515625" customWidth="1"/>
    <col min="62" max="62" width="14.85546875" customWidth="1"/>
    <col min="63" max="63" width="19.42578125" customWidth="1"/>
    <col min="64" max="64" width="23.28515625" customWidth="1"/>
    <col min="65" max="65" width="28" bestFit="1" customWidth="1"/>
    <col min="66" max="66" width="27" bestFit="1" customWidth="1"/>
    <col min="67" max="67" width="20.7109375" customWidth="1"/>
    <col min="68" max="68" width="14.5703125" customWidth="1"/>
  </cols>
  <sheetData>
    <row r="1" spans="1:67" ht="17.25" x14ac:dyDescent="0.3">
      <c r="A1" t="s">
        <v>55</v>
      </c>
      <c r="B1" t="s">
        <v>0</v>
      </c>
      <c r="C1" t="s">
        <v>5</v>
      </c>
      <c r="D1" t="s">
        <v>51</v>
      </c>
      <c r="E1" t="s">
        <v>42</v>
      </c>
      <c r="F1" t="s">
        <v>51</v>
      </c>
      <c r="G1" t="s">
        <v>43</v>
      </c>
      <c r="H1" t="s">
        <v>51</v>
      </c>
      <c r="I1" t="s">
        <v>18</v>
      </c>
      <c r="J1" t="s">
        <v>19</v>
      </c>
      <c r="K1" t="s">
        <v>51</v>
      </c>
      <c r="L1" t="s">
        <v>20</v>
      </c>
      <c r="M1" t="s">
        <v>52</v>
      </c>
      <c r="N1" t="s">
        <v>21</v>
      </c>
      <c r="O1" t="s">
        <v>22</v>
      </c>
      <c r="P1" t="s">
        <v>52</v>
      </c>
      <c r="Q1" t="s">
        <v>22</v>
      </c>
      <c r="R1" t="s">
        <v>52</v>
      </c>
      <c r="S1" t="s">
        <v>7</v>
      </c>
      <c r="T1" t="s">
        <v>52</v>
      </c>
      <c r="U1" t="s">
        <v>81</v>
      </c>
      <c r="V1" t="s">
        <v>52</v>
      </c>
      <c r="W1" t="s">
        <v>23</v>
      </c>
      <c r="X1" t="s">
        <v>24</v>
      </c>
      <c r="Y1" t="s">
        <v>52</v>
      </c>
      <c r="Z1" t="s">
        <v>25</v>
      </c>
      <c r="AA1" t="s">
        <v>52</v>
      </c>
      <c r="AB1" t="s">
        <v>68</v>
      </c>
      <c r="AC1" t="s">
        <v>69</v>
      </c>
      <c r="AD1" t="s">
        <v>26</v>
      </c>
      <c r="AE1" t="s">
        <v>52</v>
      </c>
      <c r="AF1" t="s">
        <v>27</v>
      </c>
      <c r="AG1" t="s">
        <v>52</v>
      </c>
      <c r="AH1" t="s">
        <v>11</v>
      </c>
      <c r="AI1" t="s">
        <v>52</v>
      </c>
      <c r="AJ1" t="s">
        <v>58</v>
      </c>
      <c r="AK1" t="s">
        <v>51</v>
      </c>
      <c r="AL1" t="s">
        <v>28</v>
      </c>
      <c r="AM1" t="s">
        <v>52</v>
      </c>
      <c r="AN1" t="s">
        <v>82</v>
      </c>
      <c r="AO1" t="s">
        <v>52</v>
      </c>
      <c r="AP1" t="s">
        <v>48</v>
      </c>
      <c r="AQ1" t="s">
        <v>52</v>
      </c>
      <c r="AR1" t="s">
        <v>6</v>
      </c>
      <c r="AS1" t="s">
        <v>45</v>
      </c>
      <c r="AT1" t="s">
        <v>52</v>
      </c>
      <c r="AU1" t="s">
        <v>60</v>
      </c>
      <c r="AV1" t="s">
        <v>52</v>
      </c>
      <c r="AW1" t="s">
        <v>46</v>
      </c>
      <c r="AX1" t="s">
        <v>51</v>
      </c>
      <c r="AY1" t="s">
        <v>63</v>
      </c>
      <c r="AZ1" t="s">
        <v>47</v>
      </c>
      <c r="BA1" t="s">
        <v>2</v>
      </c>
      <c r="BB1" t="s">
        <v>67</v>
      </c>
      <c r="BC1" t="s">
        <v>51</v>
      </c>
      <c r="BD1" t="s">
        <v>46</v>
      </c>
      <c r="BE1" t="s">
        <v>53</v>
      </c>
      <c r="BF1" t="s">
        <v>65</v>
      </c>
      <c r="BG1" t="s">
        <v>70</v>
      </c>
      <c r="BH1" t="s">
        <v>28</v>
      </c>
      <c r="BI1" t="s">
        <v>107</v>
      </c>
      <c r="BJ1" t="s">
        <v>7</v>
      </c>
      <c r="BK1" t="s">
        <v>108</v>
      </c>
      <c r="BL1" t="s">
        <v>110</v>
      </c>
      <c r="BM1" t="s">
        <v>111</v>
      </c>
      <c r="BN1" t="s">
        <v>136</v>
      </c>
      <c r="BO1" t="s">
        <v>137</v>
      </c>
    </row>
    <row r="2" spans="1:67" ht="18" x14ac:dyDescent="0.3">
      <c r="C2" t="s">
        <v>15</v>
      </c>
      <c r="D2" t="s">
        <v>29</v>
      </c>
      <c r="E2" t="s">
        <v>15</v>
      </c>
      <c r="F2" t="s">
        <v>29</v>
      </c>
      <c r="H2" t="s">
        <v>29</v>
      </c>
      <c r="I2" t="s">
        <v>30</v>
      </c>
      <c r="J2" t="s">
        <v>31</v>
      </c>
      <c r="K2" t="s">
        <v>29</v>
      </c>
      <c r="L2" t="s">
        <v>32</v>
      </c>
      <c r="M2" t="s">
        <v>33</v>
      </c>
      <c r="N2" t="s">
        <v>34</v>
      </c>
      <c r="O2" t="s">
        <v>35</v>
      </c>
      <c r="P2" t="s">
        <v>33</v>
      </c>
      <c r="Q2" t="s">
        <v>32</v>
      </c>
      <c r="R2" t="s">
        <v>33</v>
      </c>
      <c r="S2" t="s">
        <v>62</v>
      </c>
      <c r="T2" t="s">
        <v>33</v>
      </c>
      <c r="U2" t="s">
        <v>62</v>
      </c>
      <c r="V2" t="s">
        <v>33</v>
      </c>
      <c r="W2" t="s">
        <v>34</v>
      </c>
      <c r="X2" t="s">
        <v>36</v>
      </c>
      <c r="Y2" t="s">
        <v>37</v>
      </c>
      <c r="Z2" t="s">
        <v>32</v>
      </c>
      <c r="AA2" t="s">
        <v>37</v>
      </c>
      <c r="AB2" t="s">
        <v>30</v>
      </c>
      <c r="AC2" t="s">
        <v>38</v>
      </c>
      <c r="AD2" t="s">
        <v>31</v>
      </c>
      <c r="AE2" t="s">
        <v>37</v>
      </c>
      <c r="AF2" t="s">
        <v>32</v>
      </c>
      <c r="AG2" t="s">
        <v>37</v>
      </c>
      <c r="AI2" t="s">
        <v>37</v>
      </c>
      <c r="AJ2" t="s">
        <v>39</v>
      </c>
      <c r="AK2" t="s">
        <v>50</v>
      </c>
      <c r="AL2" t="s">
        <v>61</v>
      </c>
      <c r="AM2" t="s">
        <v>37</v>
      </c>
      <c r="AN2" t="s">
        <v>61</v>
      </c>
      <c r="AO2" t="s">
        <v>37</v>
      </c>
      <c r="AP2" t="s">
        <v>40</v>
      </c>
      <c r="AQ2" t="s">
        <v>59</v>
      </c>
      <c r="AR2" t="s">
        <v>41</v>
      </c>
      <c r="AS2" t="s">
        <v>61</v>
      </c>
      <c r="AT2" t="s">
        <v>37</v>
      </c>
      <c r="AU2" t="s">
        <v>66</v>
      </c>
      <c r="AV2" t="s">
        <v>37</v>
      </c>
      <c r="AW2" t="s">
        <v>40</v>
      </c>
      <c r="AX2" t="s">
        <v>40</v>
      </c>
      <c r="AY2" t="s">
        <v>64</v>
      </c>
      <c r="BA2" t="s">
        <v>12</v>
      </c>
      <c r="BB2" t="s">
        <v>39</v>
      </c>
      <c r="BC2" t="s">
        <v>50</v>
      </c>
      <c r="BD2" t="s">
        <v>49</v>
      </c>
      <c r="BE2" t="s">
        <v>54</v>
      </c>
      <c r="BF2" t="s">
        <v>13</v>
      </c>
      <c r="BH2" t="s">
        <v>109</v>
      </c>
      <c r="BJ2" t="s">
        <v>109</v>
      </c>
    </row>
    <row r="4" spans="1:67" x14ac:dyDescent="0.25">
      <c r="A4" t="s">
        <v>87</v>
      </c>
      <c r="C4" t="s">
        <v>74</v>
      </c>
      <c r="D4">
        <v>3.8677999999999999</v>
      </c>
      <c r="E4" t="s">
        <v>75</v>
      </c>
      <c r="F4" t="s">
        <v>76</v>
      </c>
      <c r="G4">
        <v>3.8556E-2</v>
      </c>
      <c r="H4" t="s">
        <v>75</v>
      </c>
      <c r="K4" t="s">
        <v>77</v>
      </c>
      <c r="L4">
        <v>1.8114999999999999E-2</v>
      </c>
      <c r="M4" t="s">
        <v>75</v>
      </c>
    </row>
    <row r="8" spans="1:67" x14ac:dyDescent="0.25">
      <c r="A8" s="3">
        <f>Input!A9</f>
        <v>9186</v>
      </c>
      <c r="B8" s="3">
        <f>Input!B9</f>
        <v>0</v>
      </c>
      <c r="C8" s="3">
        <f>Input!O9</f>
        <v>2.046636197755046</v>
      </c>
      <c r="D8" s="3">
        <f>C8*Input!P9/100</f>
        <v>9.0140473791084797E-3</v>
      </c>
      <c r="E8" s="4">
        <f>Input!M9</f>
        <v>2.69984585972793</v>
      </c>
      <c r="F8" s="5">
        <f>E8*Input!N9/100</f>
        <v>3.0262740921340093E-4</v>
      </c>
      <c r="G8" s="6">
        <f t="shared" ref="G8:G21" si="0">E8*137.88</f>
        <v>372.25474713928696</v>
      </c>
      <c r="H8" s="5">
        <f>G8*Input!L9/100</f>
        <v>2.272195873778176E-2</v>
      </c>
      <c r="I8" s="3">
        <v>0</v>
      </c>
      <c r="J8" s="7">
        <f>(((C8*$G$4*0.000000001*Input!G9*(234/233))-(I8*0.000000000000001))/Input!F9)*1000000000000</f>
        <v>748.58148518228256</v>
      </c>
      <c r="K8" s="3">
        <f>J8*Input!P9/100</f>
        <v>3.2969948357006924</v>
      </c>
      <c r="L8" s="8">
        <f t="shared" ref="L8:L21" si="1">(J8/234)*602200000000*0.0000028263/(365.2425*24*60)</f>
        <v>10.352337802848435</v>
      </c>
      <c r="M8" s="9">
        <f>L8*Input!P9/100</f>
        <v>4.5595042021523098E-2</v>
      </c>
      <c r="N8" s="3">
        <v>0</v>
      </c>
      <c r="O8" s="7">
        <f>(((G8*$D$4*0.000000001*Input!G9*(238/236))-(N8*0.000000001))/Input!F9)*1000000</f>
        <v>13.7156290368498</v>
      </c>
      <c r="P8" s="3">
        <f>O8*Input!N9/100</f>
        <v>1.5373934279241507E-3</v>
      </c>
      <c r="Q8" s="10">
        <f>(O8/238.05)*602200000000000000*0.00000000015512/(365.2425*24*60)</f>
        <v>10.233219575205435</v>
      </c>
      <c r="R8" s="11">
        <f>Q8*Input!N9/100</f>
        <v>1.1470479756456754E-3</v>
      </c>
      <c r="S8" s="9">
        <f>Input!S9*0.0000028263/0.000000000155125</f>
        <v>0.9984642142615856</v>
      </c>
      <c r="T8" s="3">
        <f>S8*Input!T9/100</f>
        <v>1.2975921163849461E-3</v>
      </c>
      <c r="U8" s="9">
        <f>S8</f>
        <v>0.9984642142615856</v>
      </c>
      <c r="V8" s="3">
        <f>U8*Input!T9/100</f>
        <v>1.2975921163849461E-3</v>
      </c>
      <c r="W8" s="12">
        <v>0</v>
      </c>
      <c r="X8" s="7">
        <f>Y24</f>
        <v>0</v>
      </c>
      <c r="Y8" s="7">
        <f>X8*Input!X9/100</f>
        <v>0</v>
      </c>
      <c r="Z8" s="7">
        <f>(X8/232)*6.022E+23*0.000000001*0.000000000049475/(365.2425*24*60)</f>
        <v>0</v>
      </c>
      <c r="AA8" s="7">
        <f>Z8*Input!X9/100</f>
        <v>0</v>
      </c>
      <c r="AB8" s="8">
        <v>0</v>
      </c>
      <c r="AC8" s="8">
        <v>0.85</v>
      </c>
      <c r="AD8" s="7">
        <f>(((Input!G9*$L$4*0.000000001*Input!U9*(230/229))-((AB8*0.000000000000001)+(Input!G9*AC8*0.000000000000001)))/Input!F9)*1000000000000</f>
        <v>224.63134246547881</v>
      </c>
      <c r="AE8" s="7">
        <f>AD8*Input!V9/100</f>
        <v>0.8354693894877866</v>
      </c>
      <c r="AF8" s="7">
        <f t="shared" ref="AF8:AF21" si="2">(AD8/230)*602200000000*0.0000091577/(365.2425*24*60)</f>
        <v>10.240611278051031</v>
      </c>
      <c r="AG8" s="7">
        <f>AF8*Input!V9/100</f>
        <v>3.808781605696842E-2</v>
      </c>
      <c r="AH8" s="3" t="e">
        <f t="shared" ref="AH8:AH21" si="3">AF8/Z8</f>
        <v>#DIV/0!</v>
      </c>
      <c r="AI8" s="12" t="e">
        <f t="shared" ref="AI8:AI21" si="4">AH8*SQRT((AG8/AF8)^2+(AA8/Z8)^2)</f>
        <v>#DIV/0!</v>
      </c>
      <c r="AJ8" s="9">
        <f t="shared" ref="AJ8:AJ21" si="5">(U8-1)*1000</f>
        <v>-1.5357857384143969</v>
      </c>
      <c r="AK8" s="12">
        <f t="shared" ref="AK8:AK21" si="6">V8*1000</f>
        <v>1.2975921163849462</v>
      </c>
      <c r="AL8" s="12">
        <f t="shared" ref="AL8:AL21" si="7">AF8/Q8</f>
        <v>1.00072232426865</v>
      </c>
      <c r="AM8" s="12">
        <f t="shared" ref="AM8:AM21" si="8">AL8*SQRT((R8/Q8)^2+(AG8/AF8)^2)</f>
        <v>3.7236677069280447E-3</v>
      </c>
      <c r="AN8" s="3">
        <f>AF8/Q8</f>
        <v>1.00072232426865</v>
      </c>
      <c r="AO8" s="7">
        <f t="shared" ref="AO8:AO21" si="9">AN8*SQRT((R8/Q8)^2+(AG8/AF8)^2)</f>
        <v>3.7236677069280447E-3</v>
      </c>
      <c r="AP8" s="3" t="str">
        <f t="shared" ref="AP8:AP9" si="10">ThU_Alter_Kombi(AN8,U8)</f>
        <v>Out of range</v>
      </c>
      <c r="AQ8" s="3" t="e">
        <f t="shared" ref="AQ8:AQ9" si="11">Montealter(AN8,AO8,U8,V8)</f>
        <v>#VALUE!</v>
      </c>
      <c r="AR8" s="3" t="e">
        <f t="shared" ref="AR8:AR21" si="12">(AQ8/AP8)*100</f>
        <v>#VALUE!</v>
      </c>
      <c r="AS8" s="11">
        <f t="shared" ref="AS8:AS21" si="13">Z8/Q8</f>
        <v>0</v>
      </c>
      <c r="AT8" s="11" t="e">
        <f t="shared" ref="AT8:AT21" si="14">AS8*SQRT((Y8/X8)^2+(P8/O8)^2)</f>
        <v>#DIV/0!</v>
      </c>
      <c r="AU8" s="3">
        <v>0.75</v>
      </c>
      <c r="AV8" s="3">
        <f t="shared" ref="AV8:AV21" si="15">AU8/2</f>
        <v>0.375</v>
      </c>
      <c r="AW8" s="3" t="str">
        <f t="shared" ref="AW8:AW9" si="16">marincorr_age(AN8,U8,AS8,AU8)</f>
        <v>Out of range</v>
      </c>
      <c r="AX8" s="13" t="e">
        <f t="shared" ref="AX8:AX21" si="17">marincorr_age_error(AN8, AO8, U8, V8, AS8, AT8, AU8, AV8)</f>
        <v>#VALUE!</v>
      </c>
      <c r="AY8" s="13" t="e">
        <f t="shared" ref="AY8:AY21" si="18"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#VALUE!</v>
      </c>
      <c r="AZ8" s="3">
        <f>Input!B9</f>
        <v>0</v>
      </c>
      <c r="BA8" s="14">
        <f>Input!E9</f>
        <v>0</v>
      </c>
      <c r="BB8" s="3" t="e">
        <f t="shared" ref="BB8" si="19">((U8-1)*EXP(0.0000028263*AW8*1000))*1000</f>
        <v>#VALUE!</v>
      </c>
      <c r="BC8" s="9" t="e">
        <f t="shared" ref="BC8:BC21" si="20">SQRT((EXP(0.0000028263*AW8*1000)*V8)^2+((U8-1)*0.0000028263*EXP(0.0000028263*AW8*1000)*AX8*1000)^2)*1000</f>
        <v>#VALUE!</v>
      </c>
      <c r="BD8" s="3" t="e">
        <f t="shared" ref="BD8:BD21" si="21">AW8*1000-58</f>
        <v>#VALUE!</v>
      </c>
      <c r="BE8" s="15" t="e">
        <f t="shared" ref="BE8:BE21" si="22">AY8/2*1000</f>
        <v>#VALUE!</v>
      </c>
      <c r="BF8" s="16" t="e">
        <f t="shared" ref="BF8:BF21" si="23">AY8/AW8*100</f>
        <v>#VALUE!</v>
      </c>
      <c r="BH8">
        <f>((AD8*0.000000000001)/(O8*0.000001))*(238/230)</f>
        <v>1.6947425883765546E-5</v>
      </c>
      <c r="BI8">
        <f>BH8*SQRT(((AE8/AD8)^2)+((P8/O8)^2))</f>
        <v>6.3061031965139719E-8</v>
      </c>
      <c r="BJ8">
        <f>((J8*0.000000000001)/(O8*0.000001))*(238/234)</f>
        <v>5.5511690192309708E-5</v>
      </c>
      <c r="BK8">
        <f>BJ8*SQRT(((K8/J8)^2)+((P8/O8)^2))</f>
        <v>2.4457059434594282E-7</v>
      </c>
      <c r="BL8">
        <f>BH8-0.000016916</f>
        <v>3.1425883765546901E-8</v>
      </c>
      <c r="BM8">
        <f>BI8/BH8</f>
        <v>3.7209799528049744E-3</v>
      </c>
      <c r="BN8">
        <f>BJ8-0.00005497</f>
        <v>5.4169019230971107E-7</v>
      </c>
      <c r="BO8">
        <f>BK8/BJ8</f>
        <v>4.4057493745673108E-3</v>
      </c>
    </row>
    <row r="9" spans="1:67" x14ac:dyDescent="0.25">
      <c r="A9" s="17">
        <f>Input!A10</f>
        <v>9715</v>
      </c>
      <c r="B9" s="17" t="str">
        <f>Input!B10</f>
        <v>WM-1 (20)</v>
      </c>
      <c r="C9" s="17">
        <f>Input!O10</f>
        <v>67.094819880478795</v>
      </c>
      <c r="D9" s="17">
        <f>C9*Input!P10/100</f>
        <v>46.421937960072867</v>
      </c>
      <c r="E9" s="18">
        <f>Input!M10</f>
        <v>32.403263717422789</v>
      </c>
      <c r="F9" s="19">
        <f>E9*Input!N10/100</f>
        <v>4.2631119980117239E-2</v>
      </c>
      <c r="G9" s="20">
        <f t="shared" si="0"/>
        <v>4467.7620013582537</v>
      </c>
      <c r="H9" s="19">
        <f>G9*Input!L10/100</f>
        <v>0.27014959432303476</v>
      </c>
      <c r="I9" s="17">
        <v>0.3</v>
      </c>
      <c r="J9" s="21">
        <f>(((C9*$G$4*0.000000001*Input!G10*(234/233))-(I9*0.000000000000001))/Input!F10)*1000000000000</f>
        <v>2242.3543299508869</v>
      </c>
      <c r="K9" s="17">
        <f>J9*Input!P10/100</f>
        <v>1551.4526125103594</v>
      </c>
      <c r="L9" s="22">
        <f t="shared" si="1"/>
        <v>31.010130435805305</v>
      </c>
      <c r="M9" s="23">
        <f>L9*Input!P10/100</f>
        <v>21.455461893915267</v>
      </c>
      <c r="N9" s="17">
        <v>5.0000000000000001E-3</v>
      </c>
      <c r="O9" s="21">
        <f>(((G9*$D$4*0.000000001*Input!G10*(238/236))-(N9*0.000000001))/Input!F10)*1000000</f>
        <v>15.04093289332935</v>
      </c>
      <c r="P9" s="17">
        <f>O9*Input!N10/100</f>
        <v>1.9788494775717445E-2</v>
      </c>
      <c r="Q9" s="24">
        <f t="shared" ref="Q9:Q21" si="24">(O9/238.05)*602200000000000000*0.00000000015512/(365.2425*24*60)</f>
        <v>11.222027695546428</v>
      </c>
      <c r="R9" s="25">
        <f>Q9*Input!N10/100</f>
        <v>1.476417972217426E-2</v>
      </c>
      <c r="S9" s="26">
        <f>Input!S10*0.0000028263/0.000000000155125</f>
        <v>1.0007500215978895</v>
      </c>
      <c r="T9" s="17">
        <f>S9*Input!T10/100</f>
        <v>1.4647210629038778E-3</v>
      </c>
      <c r="U9" s="17">
        <f>S9*1/((U8+U10)/2)</f>
        <v>1.0030462162858649</v>
      </c>
      <c r="V9" s="17">
        <f>U9*Input!T10/100</f>
        <v>1.4680818269822394E-3</v>
      </c>
      <c r="W9" s="27">
        <v>3.0000000000000001E-3</v>
      </c>
      <c r="X9" s="21">
        <f>((($L$4*0.000000001*Input!G10/Input!W10*(232/229))-(W9*0.000000001))/Input!F10)*1000000000</f>
        <v>5.5222719788782055E-3</v>
      </c>
      <c r="Y9" s="21">
        <f>X9*Input!X10/100</f>
        <v>1.6179884103577035E-4</v>
      </c>
      <c r="Z9" s="21">
        <f t="shared" ref="Z9:Z21" si="25">(X9/232)*6.022E+23*0.000000001*0.000000000049475/(365.2425*24*60)</f>
        <v>1.3483808088321187E-6</v>
      </c>
      <c r="AA9" s="21">
        <f>Z9*Input!X10/100</f>
        <v>3.9506647441191359E-8</v>
      </c>
      <c r="AB9" s="22">
        <v>0.05</v>
      </c>
      <c r="AC9" s="22">
        <v>0.85</v>
      </c>
      <c r="AD9" s="21">
        <f>(((Input!G10*$L$4*0.000000001*Input!U10*(230/229))-((AB9*0.000000000000001)+(Input!G10*AC9*0.000000000000001)))/Input!F10)*1000000000000</f>
        <v>240.40645814504711</v>
      </c>
      <c r="AE9" s="21">
        <f>AD9*Input!V10/100</f>
        <v>1.8309557888555776</v>
      </c>
      <c r="AF9" s="21">
        <f t="shared" si="2"/>
        <v>10.959775512959936</v>
      </c>
      <c r="AG9" s="21">
        <f>AF9*Input!V10/100</f>
        <v>8.3470571360044071E-2</v>
      </c>
      <c r="AH9" s="17">
        <f t="shared" si="3"/>
        <v>8128101.0832930747</v>
      </c>
      <c r="AI9" s="27">
        <f t="shared" si="4"/>
        <v>246062.09111079789</v>
      </c>
      <c r="AJ9" s="23">
        <f t="shared" si="5"/>
        <v>3.0462162858648778</v>
      </c>
      <c r="AK9" s="27">
        <f t="shared" si="6"/>
        <v>1.4680818269822393</v>
      </c>
      <c r="AL9" s="27">
        <f t="shared" si="7"/>
        <v>0.97663058854412121</v>
      </c>
      <c r="AM9" s="27">
        <f t="shared" si="8"/>
        <v>7.5482647910632729E-3</v>
      </c>
      <c r="AN9" s="17">
        <f>AL9*1/((AN8+AN10)/2)</f>
        <v>0.97546573295251948</v>
      </c>
      <c r="AO9" s="21">
        <f t="shared" si="9"/>
        <v>7.5392617570073069E-3</v>
      </c>
      <c r="AP9" s="28">
        <f t="shared" si="10"/>
        <v>387.74020000000002</v>
      </c>
      <c r="AQ9" s="28">
        <f t="shared" si="11"/>
        <v>34.368200000000002</v>
      </c>
      <c r="AR9" s="28">
        <f t="shared" si="12"/>
        <v>8.863718541435734</v>
      </c>
      <c r="AS9" s="29">
        <f t="shared" si="13"/>
        <v>1.2015482811250206E-7</v>
      </c>
      <c r="AT9" s="29">
        <f t="shared" si="14"/>
        <v>3.5240027557377353E-9</v>
      </c>
      <c r="AU9" s="28">
        <v>0.75</v>
      </c>
      <c r="AV9" s="28">
        <f t="shared" si="15"/>
        <v>0.375</v>
      </c>
      <c r="AW9" s="28">
        <f t="shared" si="16"/>
        <v>387.74020000000002</v>
      </c>
      <c r="AX9" s="30">
        <f t="shared" si="17"/>
        <v>30.7803923058</v>
      </c>
      <c r="AY9" s="31">
        <f t="shared" si="18"/>
        <v>29.34771958841884</v>
      </c>
      <c r="AZ9" s="17" t="str">
        <f>Input!B10</f>
        <v>WM-1 (20)</v>
      </c>
      <c r="BA9" s="32">
        <f>Input!E10</f>
        <v>0</v>
      </c>
      <c r="BB9" s="28">
        <f>((U9-1)*EXP(0.0000028263*AW9*1000))*1000</f>
        <v>9.1136235347936623</v>
      </c>
      <c r="BC9" s="23">
        <f t="shared" si="20"/>
        <v>4.4631689706746123</v>
      </c>
      <c r="BD9" s="17">
        <f t="shared" si="21"/>
        <v>387682.2</v>
      </c>
      <c r="BE9" s="33">
        <f t="shared" si="22"/>
        <v>14673.85979420942</v>
      </c>
      <c r="BF9" s="34">
        <f t="shared" si="23"/>
        <v>7.568913305460419</v>
      </c>
      <c r="BH9">
        <f t="shared" ref="BH9:BH22" si="26">((AD9*0.000000000001)/(O9*0.000001))*(238/230)</f>
        <v>1.6539427685163247E-5</v>
      </c>
      <c r="BI9">
        <f t="shared" ref="BI9:BI20" si="27">BH9*SQRT(((AE9/AD9)^2)+((P9/O9)^2))</f>
        <v>1.2783132243109626E-7</v>
      </c>
      <c r="BJ9">
        <f t="shared" ref="BJ9:BJ22" si="28">((J9*0.000000000001)/(O9*0.000001))*(238/234)</f>
        <v>1.5163189606473107E-4</v>
      </c>
      <c r="BK9">
        <f t="shared" ref="BK9:BK22" si="29">BJ9*SQRT(((K9/J9)^2)+((P9/O9)^2))</f>
        <v>1.0491211110475539E-4</v>
      </c>
      <c r="BL9">
        <f t="shared" ref="BL9:BL20" si="30">BH9-0.000016916</f>
        <v>-3.7657231483675173E-7</v>
      </c>
      <c r="BM9">
        <f t="shared" ref="BM9:BM20" si="31">BI9/BH9</f>
        <v>7.7288842676078691E-3</v>
      </c>
      <c r="BN9">
        <f t="shared" ref="BN9:BN20" si="32">BJ9-0.00005497</f>
        <v>9.666189606473107E-5</v>
      </c>
      <c r="BO9">
        <f t="shared" ref="BO9:BO22" si="33">BK9/BJ9</f>
        <v>0.69188682478763452</v>
      </c>
    </row>
    <row r="10" spans="1:67" ht="15" customHeight="1" x14ac:dyDescent="0.25">
      <c r="A10" s="3">
        <f>Input!A11</f>
        <v>9186</v>
      </c>
      <c r="B10" s="3">
        <f>Input!B11</f>
        <v>0</v>
      </c>
      <c r="C10" s="3">
        <f>Input!O11</f>
        <v>2.0635718201411</v>
      </c>
      <c r="D10" s="3">
        <f>C10*Input!P11/100</f>
        <v>9.4030090250330472E-3</v>
      </c>
      <c r="E10" s="4">
        <f>Input!M11</f>
        <v>2.6995830353124708</v>
      </c>
      <c r="F10" s="5">
        <f>E10*Input!N11/100</f>
        <v>2.2740380347952485E-4</v>
      </c>
      <c r="G10" s="6">
        <f t="shared" si="0"/>
        <v>372.21850890888345</v>
      </c>
      <c r="H10" s="5">
        <f>G10*Input!L11/100</f>
        <v>2.4200072836481453E-2</v>
      </c>
      <c r="I10" s="3">
        <v>0</v>
      </c>
      <c r="J10" s="7">
        <f>(((C10*$G$4*0.000000001*Input!G11*(234/233))-(I10*0.000000000000001))/Input!F11)*1000000000000</f>
        <v>754.77589011470047</v>
      </c>
      <c r="K10" s="3">
        <f>J10*Input!P11/100</f>
        <v>3.439262175105978</v>
      </c>
      <c r="L10" s="8">
        <f t="shared" si="1"/>
        <v>10.438001920405933</v>
      </c>
      <c r="M10" s="9">
        <f>L10*Input!P11/100</f>
        <v>4.7562495912634735E-2</v>
      </c>
      <c r="N10" s="3">
        <v>0</v>
      </c>
      <c r="O10" s="7">
        <f>(((G10*$D$4*0.000000001*Input!G11*(238/236))-(N10*0.000000001))/Input!F11)*1000000</f>
        <v>13.714293848705161</v>
      </c>
      <c r="P10" s="3">
        <f>O10*Input!N11/100</f>
        <v>1.1552460296411753E-3</v>
      </c>
      <c r="Q10" s="10">
        <f t="shared" si="24"/>
        <v>10.232223392425805</v>
      </c>
      <c r="R10" s="11">
        <f>Q10*Input!N11/100</f>
        <v>8.6192811521371387E-4</v>
      </c>
      <c r="S10" s="9">
        <f>Input!S11*0.0000028263/0.000000000155125</f>
        <v>0.9969573432884189</v>
      </c>
      <c r="T10" s="3">
        <f>S10*Input!T11/100</f>
        <v>1.1140555675288181E-3</v>
      </c>
      <c r="U10" s="9">
        <f>S10</f>
        <v>0.9969573432884189</v>
      </c>
      <c r="V10" s="3">
        <f>U10*Input!T11/100</f>
        <v>1.1140555675288181E-3</v>
      </c>
      <c r="W10" s="12">
        <v>0</v>
      </c>
      <c r="X10" s="7">
        <f>((($L$4*0.000000001*Input!G11/Input!W11*(232/229))-(W10*0.000000001))/Input!F11)*1000000000</f>
        <v>0.89123403100690024</v>
      </c>
      <c r="Y10" s="7">
        <f>X10*Input!X11/100</f>
        <v>3.968352272884044E-3</v>
      </c>
      <c r="Z10" s="7">
        <f t="shared" si="25"/>
        <v>2.1761384955036421E-4</v>
      </c>
      <c r="AA10" s="7">
        <f>Z10*Input!X11/100</f>
        <v>9.6895807883209989E-7</v>
      </c>
      <c r="AB10" s="8">
        <v>0</v>
      </c>
      <c r="AC10" s="8">
        <v>0.85</v>
      </c>
      <c r="AD10" s="7">
        <f>(((Input!G11*$L$4*0.000000001*Input!U11*(230/229))-((AB10*0.000000000000001)+(Input!G11*AC10*0.000000000000001)))/Input!F11)*1000000000000</f>
        <v>224.82127660624693</v>
      </c>
      <c r="AE10" s="7">
        <f>AD10*Input!V11/100</f>
        <v>0.51968628600639877</v>
      </c>
      <c r="AF10" s="7">
        <f t="shared" si="2"/>
        <v>10.249270095127439</v>
      </c>
      <c r="AG10" s="7">
        <f>AF10*Input!V11/100</f>
        <v>2.3691730562236422E-2</v>
      </c>
      <c r="AH10" s="3">
        <f t="shared" si="3"/>
        <v>47098.427403883426</v>
      </c>
      <c r="AI10" s="12">
        <f t="shared" si="4"/>
        <v>236.28844838390143</v>
      </c>
      <c r="AJ10" s="9">
        <f t="shared" si="5"/>
        <v>-3.0426567115811043</v>
      </c>
      <c r="AK10" s="12">
        <f t="shared" si="6"/>
        <v>1.1140555675288182</v>
      </c>
      <c r="AL10" s="12">
        <f t="shared" si="7"/>
        <v>1.0016659822648373</v>
      </c>
      <c r="AM10" s="12">
        <f t="shared" si="8"/>
        <v>2.3169408650311626E-3</v>
      </c>
      <c r="AN10" s="3">
        <f>AF10/Q10</f>
        <v>1.0016659822648373</v>
      </c>
      <c r="AO10" s="7">
        <f t="shared" si="9"/>
        <v>2.3169408650311626E-3</v>
      </c>
      <c r="AP10" s="3" t="str">
        <f t="shared" ref="AP10:AP11" si="34">ThU_Alter_Kombi(AN10,U10)</f>
        <v>Out of range</v>
      </c>
      <c r="AQ10" s="3" t="e">
        <f t="shared" ref="AQ10:AQ11" si="35">Montealter(AN10,AO10,U10,V10)</f>
        <v>#VALUE!</v>
      </c>
      <c r="AR10" s="3" t="e">
        <f t="shared" si="12"/>
        <v>#VALUE!</v>
      </c>
      <c r="AS10" s="11">
        <f t="shared" si="13"/>
        <v>2.1267503767700032E-5</v>
      </c>
      <c r="AT10" s="11">
        <f t="shared" si="14"/>
        <v>9.4713672931124735E-8</v>
      </c>
      <c r="AU10" s="3">
        <v>0.75</v>
      </c>
      <c r="AV10" s="3">
        <f t="shared" si="15"/>
        <v>0.375</v>
      </c>
      <c r="AW10" s="3" t="str">
        <f t="shared" ref="AW10:AW11" si="36">marincorr_age(AN10,U10,AS10,AU10)</f>
        <v>Out of range</v>
      </c>
      <c r="AX10" s="13">
        <f t="shared" si="17"/>
        <v>0</v>
      </c>
      <c r="AY10" s="13" t="e">
        <f t="shared" si="18"/>
        <v>#VALUE!</v>
      </c>
      <c r="AZ10" s="3">
        <f>Input!B11</f>
        <v>0</v>
      </c>
      <c r="BA10" s="14">
        <f>Input!E11</f>
        <v>0</v>
      </c>
      <c r="BB10" s="3" t="e">
        <f t="shared" ref="BB10" si="37">((U10-1)*EXP(0.0000028263*AW10*1000))*1000</f>
        <v>#VALUE!</v>
      </c>
      <c r="BC10" s="9" t="e">
        <f t="shared" si="20"/>
        <v>#VALUE!</v>
      </c>
      <c r="BD10" s="3" t="e">
        <f t="shared" si="21"/>
        <v>#VALUE!</v>
      </c>
      <c r="BE10" s="15" t="e">
        <f t="shared" si="22"/>
        <v>#VALUE!</v>
      </c>
      <c r="BF10" s="16" t="e">
        <f t="shared" si="23"/>
        <v>#VALUE!</v>
      </c>
      <c r="BH10">
        <f t="shared" si="26"/>
        <v>1.696340691422941E-5</v>
      </c>
      <c r="BI10">
        <f t="shared" si="27"/>
        <v>3.9237841142276749E-8</v>
      </c>
      <c r="BJ10">
        <f t="shared" si="28"/>
        <v>5.59764907002451E-5</v>
      </c>
      <c r="BK10">
        <f t="shared" si="29"/>
        <v>2.5510979256417863E-7</v>
      </c>
      <c r="BL10">
        <f t="shared" si="30"/>
        <v>4.7406914229411305E-8</v>
      </c>
      <c r="BM10">
        <f t="shared" si="31"/>
        <v>2.3130873026079969E-3</v>
      </c>
      <c r="BN10">
        <f t="shared" si="32"/>
        <v>1.0064907002451027E-6</v>
      </c>
      <c r="BO10">
        <f t="shared" si="33"/>
        <v>4.5574452662689264E-3</v>
      </c>
    </row>
    <row r="11" spans="1:67" ht="15" customHeight="1" x14ac:dyDescent="0.25">
      <c r="A11" s="17">
        <f>Input!A12</f>
        <v>9716</v>
      </c>
      <c r="B11" s="17" t="str">
        <f>Input!B12</f>
        <v>WM-1 (66)</v>
      </c>
      <c r="C11" s="17">
        <f>Input!O12</f>
        <v>5.8486363759909494</v>
      </c>
      <c r="D11" s="17">
        <f>C11*Input!P12/100</f>
        <v>0.13323386063318801</v>
      </c>
      <c r="E11" s="18">
        <f>Input!M12</f>
        <v>7.5025724014821682</v>
      </c>
      <c r="F11" s="19">
        <f>E11*Input!N12/100</f>
        <v>1.9406612096913298E-3</v>
      </c>
      <c r="G11" s="20">
        <f t="shared" si="0"/>
        <v>1034.4546827163613</v>
      </c>
      <c r="H11" s="19">
        <f>G11*Input!L12/100</f>
        <v>5.9880055813989828E-2</v>
      </c>
      <c r="I11" s="17">
        <v>0.3</v>
      </c>
      <c r="J11" s="21">
        <f>(((C11*$G$4*0.000000001*Input!G12*(234/233))-(I11*0.000000000000001))/Input!F12)*1000000000000</f>
        <v>193.1418052992953</v>
      </c>
      <c r="K11" s="17">
        <f>J11*Input!P12/100</f>
        <v>4.3998338613295367</v>
      </c>
      <c r="L11" s="22">
        <f t="shared" si="1"/>
        <v>2.6710107742290852</v>
      </c>
      <c r="M11" s="23">
        <f>L11*Input!P12/100</f>
        <v>6.0846504102092636E-2</v>
      </c>
      <c r="N11" s="17">
        <v>5.0000000000000001E-3</v>
      </c>
      <c r="O11" s="21">
        <f>(((G11*$D$4*0.000000001*Input!G12*(238/236))-(N11*0.000000001))/Input!F12)*1000000</f>
        <v>3.4412337240744808</v>
      </c>
      <c r="P11" s="17">
        <f>O11*Input!N12/100</f>
        <v>8.9013053715731661E-4</v>
      </c>
      <c r="Q11" s="24">
        <f t="shared" si="24"/>
        <v>2.567501659125087</v>
      </c>
      <c r="R11" s="25">
        <f>Q11*Input!N12/100</f>
        <v>6.6412566371206784E-4</v>
      </c>
      <c r="S11" s="26">
        <f>Input!S12*0.0000028263/0.000000000155125</f>
        <v>1.0019994277641477</v>
      </c>
      <c r="T11" s="17">
        <f>S11*Input!T12/100</f>
        <v>1.6544446651585356E-3</v>
      </c>
      <c r="U11" s="17">
        <f>S11*1/((U10+U12)/2)</f>
        <v>1.0039432039704395</v>
      </c>
      <c r="V11" s="17">
        <f>U11*Input!T12/100</f>
        <v>1.657654118263651E-3</v>
      </c>
      <c r="W11" s="27">
        <v>3.0000000000000001E-3</v>
      </c>
      <c r="X11" s="21">
        <f>((($L$4*0.000000001*Input!G12/Input!W12*(232/229))-(W11*0.000000001))/Input!F12)*1000000000</f>
        <v>2.4038479976897928</v>
      </c>
      <c r="Y11" s="21">
        <f>X11*Input!X12/100</f>
        <v>1.0492885843223044E-2</v>
      </c>
      <c r="Z11" s="21">
        <f t="shared" si="25"/>
        <v>5.8695089988901111E-4</v>
      </c>
      <c r="AA11" s="21">
        <f>Z11*Input!X12/100</f>
        <v>2.5620624906530388E-6</v>
      </c>
      <c r="AB11" s="22">
        <v>0.05</v>
      </c>
      <c r="AC11" s="22">
        <v>0.85</v>
      </c>
      <c r="AD11" s="21">
        <f>(((Input!G12*$L$4*0.000000001*Input!U12*(230/229))-((AB11*0.000000000000001)+(Input!G12*AC11*0.000000000000001)))/Input!F12)*1000000000000</f>
        <v>55.894271720439612</v>
      </c>
      <c r="AE11" s="21">
        <f>AD11*Input!V12/100</f>
        <v>0.24619661992796107</v>
      </c>
      <c r="AF11" s="21">
        <f t="shared" si="2"/>
        <v>2.5481373305986779</v>
      </c>
      <c r="AG11" s="21">
        <f>AF11*Input!V12/100</f>
        <v>1.1223740440583344E-2</v>
      </c>
      <c r="AH11" s="17">
        <f t="shared" si="3"/>
        <v>4341.3125886347825</v>
      </c>
      <c r="AI11" s="27">
        <f t="shared" si="4"/>
        <v>26.921316677043066</v>
      </c>
      <c r="AJ11" s="23">
        <f t="shared" si="5"/>
        <v>3.9432039704394573</v>
      </c>
      <c r="AK11" s="27">
        <f t="shared" si="6"/>
        <v>1.6576541182636511</v>
      </c>
      <c r="AL11" s="27">
        <f t="shared" si="7"/>
        <v>0.99245791002409411</v>
      </c>
      <c r="AM11" s="27">
        <f t="shared" si="8"/>
        <v>4.3789950967773666E-3</v>
      </c>
      <c r="AN11" s="17">
        <f>AL11*1/((AN10+AN12)/2)</f>
        <v>0.99119736768770961</v>
      </c>
      <c r="AO11" s="21">
        <f t="shared" si="9"/>
        <v>4.3734332400431359E-3</v>
      </c>
      <c r="AP11" s="28">
        <f t="shared" si="34"/>
        <v>463.94099999999997</v>
      </c>
      <c r="AQ11" s="28" t="e">
        <f t="shared" si="35"/>
        <v>#VALUE!</v>
      </c>
      <c r="AR11" s="28" t="e">
        <f t="shared" si="12"/>
        <v>#VALUE!</v>
      </c>
      <c r="AS11" s="29">
        <f t="shared" si="13"/>
        <v>2.2860779770207551E-4</v>
      </c>
      <c r="AT11" s="29">
        <f t="shared" si="14"/>
        <v>9.9963207003809489E-7</v>
      </c>
      <c r="AU11" s="28">
        <v>0.75</v>
      </c>
      <c r="AV11" s="28">
        <f t="shared" si="15"/>
        <v>0.375</v>
      </c>
      <c r="AW11" s="28">
        <f t="shared" si="36"/>
        <v>463.92250000000001</v>
      </c>
      <c r="AX11" s="30">
        <f t="shared" si="17"/>
        <v>38.999910305999997</v>
      </c>
      <c r="AY11" s="31">
        <f t="shared" si="18"/>
        <v>37.113190321773843</v>
      </c>
      <c r="AZ11" s="17" t="str">
        <f>Input!B12</f>
        <v>WM-1 (66)</v>
      </c>
      <c r="BA11" s="32">
        <f>Input!E12</f>
        <v>0</v>
      </c>
      <c r="BB11" s="28">
        <f>((U11-1)*EXP(0.0000028263*AW11*1000))*1000</f>
        <v>14.631514722812279</v>
      </c>
      <c r="BC11" s="23">
        <f t="shared" si="20"/>
        <v>6.3587548384617216</v>
      </c>
      <c r="BD11" s="17">
        <f t="shared" si="21"/>
        <v>463864.5</v>
      </c>
      <c r="BE11" s="33">
        <f t="shared" si="22"/>
        <v>18556.595160886922</v>
      </c>
      <c r="BF11" s="34">
        <f t="shared" si="23"/>
        <v>7.9998685818803441</v>
      </c>
      <c r="BH11">
        <f t="shared" si="26"/>
        <v>1.6807466431991846E-5</v>
      </c>
      <c r="BI11">
        <f t="shared" si="27"/>
        <v>7.415912791017574E-8</v>
      </c>
      <c r="BJ11">
        <f t="shared" si="28"/>
        <v>5.7085159094645389E-5</v>
      </c>
      <c r="BK11">
        <f t="shared" si="29"/>
        <v>1.3005025328850793E-6</v>
      </c>
      <c r="BL11">
        <f t="shared" si="30"/>
        <v>-1.0853356800815238E-7</v>
      </c>
      <c r="BM11">
        <f t="shared" si="31"/>
        <v>4.4122728556529487E-3</v>
      </c>
      <c r="BN11">
        <f t="shared" si="32"/>
        <v>2.1151590946453922E-6</v>
      </c>
      <c r="BO11">
        <f t="shared" si="33"/>
        <v>2.2781797467339753E-2</v>
      </c>
    </row>
    <row r="12" spans="1:67" ht="15" customHeight="1" x14ac:dyDescent="0.25">
      <c r="A12">
        <f>Input!A13</f>
        <v>9186</v>
      </c>
      <c r="B12">
        <f>Input!B13</f>
        <v>0</v>
      </c>
      <c r="C12">
        <f>Input!O13</f>
        <v>2.0619787959391229</v>
      </c>
      <c r="D12">
        <f>C12*Input!P13/100</f>
        <v>8.3886417650718796E-3</v>
      </c>
      <c r="E12">
        <f>Input!M13</f>
        <v>2.6994833929612581</v>
      </c>
      <c r="F12">
        <f>E12*Input!N13/100</f>
        <v>2.537515854684538E-4</v>
      </c>
      <c r="G12">
        <f t="shared" si="0"/>
        <v>372.20477022149822</v>
      </c>
      <c r="H12">
        <f>G12*Input!L13/100</f>
        <v>2.0341145535488492E-2</v>
      </c>
      <c r="I12">
        <v>0</v>
      </c>
      <c r="J12">
        <f>(((C12*$G$4*0.000000001*Input!G13*(234/233))-(I12*0.000000000000001))/Input!F13)*1000000000000</f>
        <v>754.19322260185379</v>
      </c>
      <c r="K12">
        <f>J12*Input!P13/100</f>
        <v>3.0682453081049283</v>
      </c>
      <c r="L12">
        <f t="shared" si="1"/>
        <v>10.429944052239094</v>
      </c>
      <c r="M12">
        <f>L12*Input!P13/100</f>
        <v>4.2431602330870434E-2</v>
      </c>
      <c r="N12">
        <v>0</v>
      </c>
      <c r="O12">
        <f>(((G12*$D$4*0.000000001*Input!G13*(238/236))-(N12*0.000000001))/Input!F13)*1000000</f>
        <v>13.713787650352884</v>
      </c>
      <c r="P12">
        <f>O12*Input!N13/100</f>
        <v>1.289096783528421E-3</v>
      </c>
      <c r="Q12">
        <f t="shared" si="24"/>
        <v>10.231845718250343</v>
      </c>
      <c r="R12">
        <f>Q12*Input!N13/100</f>
        <v>9.6179405290821749E-4</v>
      </c>
      <c r="S12">
        <f>Input!S13*0.0000028263/0.000000000155125</f>
        <v>0.99917037350152638</v>
      </c>
      <c r="T12">
        <f>S12*Input!T13/100</f>
        <v>9.8393940157740661E-4</v>
      </c>
      <c r="U12">
        <f>S12</f>
        <v>0.99917037350152638</v>
      </c>
      <c r="V12">
        <f>U12*Input!T13/100</f>
        <v>9.8393940157740661E-4</v>
      </c>
      <c r="W12">
        <v>0</v>
      </c>
      <c r="X12">
        <f>((($L$4*0.000000001*Input!G13/Input!W13*(232/229))-(W12*0.000000001))/Input!F13)*1000000000</f>
        <v>0.89024052270727971</v>
      </c>
      <c r="Y12">
        <f>X12*Input!X13/100</f>
        <v>4.0583529680178016E-3</v>
      </c>
      <c r="Z12">
        <f t="shared" si="25"/>
        <v>2.1737126325078546E-4</v>
      </c>
      <c r="AA12">
        <f>Z12*Input!X13/100</f>
        <v>9.9093367339971165E-7</v>
      </c>
      <c r="AB12">
        <v>0</v>
      </c>
      <c r="AC12">
        <v>0.85</v>
      </c>
      <c r="AD12">
        <f>(((Input!G13*$L$4*0.000000001*Input!U13*(230/229))-((AB12*0.000000000000001)+(Input!G13*AC12*0.000000000000001)))/Input!F13)*1000000000000</f>
        <v>224.63601029868653</v>
      </c>
      <c r="AE12">
        <f>AD12*Input!V13/100</f>
        <v>0.73407059075064329</v>
      </c>
      <c r="AF12">
        <f t="shared" si="2"/>
        <v>10.240824077675812</v>
      </c>
      <c r="AG12">
        <f>AF12*Input!V13/100</f>
        <v>3.3465194518355681E-2</v>
      </c>
      <c r="AH12">
        <f t="shared" si="3"/>
        <v>47112.133980013605</v>
      </c>
      <c r="AI12">
        <f t="shared" si="4"/>
        <v>264.25055800603496</v>
      </c>
      <c r="AJ12">
        <f t="shared" si="5"/>
        <v>-0.82962649847362346</v>
      </c>
      <c r="AK12">
        <f t="shared" si="6"/>
        <v>0.98393940157740656</v>
      </c>
      <c r="AL12">
        <f t="shared" si="7"/>
        <v>1.0008774916738097</v>
      </c>
      <c r="AM12">
        <f t="shared" si="8"/>
        <v>3.2720427855295621E-3</v>
      </c>
      <c r="AN12">
        <f>AF12/Q12</f>
        <v>1.0008774916738097</v>
      </c>
      <c r="AO12">
        <f t="shared" si="9"/>
        <v>3.2720427855295621E-3</v>
      </c>
      <c r="AP12" t="str">
        <f t="shared" ref="AP12:AP13" si="38">ThU_Alter_Kombi(AN12,U12)</f>
        <v>Out of range</v>
      </c>
      <c r="AQ12" t="e">
        <f t="shared" ref="AQ12:AQ13" si="39">Montealter(AN12,AO12,U12,V12)</f>
        <v>#VALUE!</v>
      </c>
      <c r="AR12" t="e">
        <f t="shared" si="12"/>
        <v>#VALUE!</v>
      </c>
      <c r="AS12">
        <f t="shared" si="13"/>
        <v>2.1244579837933305E-5</v>
      </c>
      <c r="AT12">
        <f t="shared" si="14"/>
        <v>9.686857485449795E-8</v>
      </c>
      <c r="AU12">
        <v>0.75</v>
      </c>
      <c r="AV12">
        <f t="shared" si="15"/>
        <v>0.375</v>
      </c>
      <c r="AW12" t="str">
        <f t="shared" ref="AW12:AW13" si="40">marincorr_age(AN12,U12,AS12,AU12)</f>
        <v>Out of range</v>
      </c>
      <c r="AX12">
        <f t="shared" si="17"/>
        <v>501.8692047028</v>
      </c>
      <c r="AY12" t="e">
        <f t="shared" si="18"/>
        <v>#VALUE!</v>
      </c>
      <c r="AZ12">
        <f>Input!B13</f>
        <v>0</v>
      </c>
      <c r="BA12">
        <f>Input!E13</f>
        <v>0</v>
      </c>
      <c r="BB12" t="e">
        <f t="shared" ref="BB12" si="41">((U12-1)*EXP(0.0000028263*AW12*1000))*1000</f>
        <v>#VALUE!</v>
      </c>
      <c r="BC12" t="e">
        <f t="shared" si="20"/>
        <v>#VALUE!</v>
      </c>
      <c r="BD12" t="e">
        <f t="shared" si="21"/>
        <v>#VALUE!</v>
      </c>
      <c r="BE12" t="e">
        <f t="shared" si="22"/>
        <v>#VALUE!</v>
      </c>
      <c r="BF12" t="e">
        <f t="shared" si="23"/>
        <v>#VALUE!</v>
      </c>
      <c r="BH12">
        <f t="shared" si="26"/>
        <v>1.6950053673747591E-5</v>
      </c>
      <c r="BI12">
        <f t="shared" si="27"/>
        <v>5.5412676675118747E-8</v>
      </c>
      <c r="BJ12">
        <f t="shared" si="28"/>
        <v>5.5935342882567017E-5</v>
      </c>
      <c r="BK12">
        <f t="shared" si="29"/>
        <v>2.2761960063964905E-7</v>
      </c>
      <c r="BL12">
        <f t="shared" si="30"/>
        <v>3.4053673747592338E-8</v>
      </c>
      <c r="BM12">
        <f t="shared" si="31"/>
        <v>3.2691741124656402E-3</v>
      </c>
      <c r="BN12">
        <f t="shared" si="32"/>
        <v>9.6534288256702017E-7</v>
      </c>
      <c r="BO12">
        <f t="shared" si="33"/>
        <v>4.0693341438439576E-3</v>
      </c>
    </row>
    <row r="13" spans="1:67" ht="15" customHeight="1" x14ac:dyDescent="0.25">
      <c r="A13">
        <f>Input!A14</f>
        <v>9717</v>
      </c>
      <c r="B13" t="str">
        <f>Input!B14</f>
        <v>WM-1-6-1</v>
      </c>
      <c r="C13">
        <f>Input!O14</f>
        <v>19.486736274415041</v>
      </c>
      <c r="D13">
        <f>C13*Input!P14/100</f>
        <v>0.68824754897528595</v>
      </c>
      <c r="E13">
        <f>Input!M14</f>
        <v>24.418427483534192</v>
      </c>
      <c r="F13">
        <f>E13*Input!N14/100</f>
        <v>8.1099231442131516E-3</v>
      </c>
      <c r="G13">
        <f t="shared" si="0"/>
        <v>3366.812781429694</v>
      </c>
      <c r="H13">
        <f>G13*Input!L14/100</f>
        <v>0.13227996451399796</v>
      </c>
      <c r="I13">
        <v>0.3</v>
      </c>
      <c r="J13">
        <f>(((C13*$G$4*0.000000001*Input!G14*(234/233))-(I13*0.000000000000001))/Input!F14)*1000000000000</f>
        <v>1119.5204306211754</v>
      </c>
      <c r="K13">
        <f>J13*Input!P14/100</f>
        <v>39.540084165577383</v>
      </c>
      <c r="L13">
        <f t="shared" si="1"/>
        <v>15.48215378604859</v>
      </c>
      <c r="M13">
        <f>L13*Input!P14/100</f>
        <v>0.54681062267448621</v>
      </c>
      <c r="N13">
        <v>5.0000000000000001E-3</v>
      </c>
      <c r="O13">
        <f>(((G13*$D$4*0.000000001*Input!G14*(238/236))-(N13*0.000000001))/Input!F14)*1000000</f>
        <v>19.484518174028747</v>
      </c>
      <c r="P13">
        <f>O13*Input!N14/100</f>
        <v>6.4712580283866365E-3</v>
      </c>
      <c r="Q13">
        <f t="shared" si="24"/>
        <v>14.537383028967714</v>
      </c>
      <c r="R13">
        <f>Q13*Input!N14/100</f>
        <v>4.828200307428354E-3</v>
      </c>
      <c r="S13">
        <f>Input!S14*0.0000028263/0.000000000155125</f>
        <v>0.99890045311687536</v>
      </c>
      <c r="T13">
        <f>S13*Input!T14/100</f>
        <v>7.4050514726304456E-4</v>
      </c>
      <c r="U13">
        <f>S13*1/((U12+U14)/2)</f>
        <v>1.0002930332121345</v>
      </c>
      <c r="V13">
        <f>U13*Input!T14/100</f>
        <v>7.4153749510641356E-4</v>
      </c>
      <c r="W13">
        <v>3.0000000000000001E-3</v>
      </c>
      <c r="X13">
        <f>((($L$4*0.000000001*Input!G14/Input!W14*(232/229))-(W13*0.000000001))/Input!F14)*1000000000</f>
        <v>-0.16841681650032292</v>
      </c>
      <c r="Y13">
        <f>X13*Input!X14/100</f>
        <v>-2.5139146781342219E-3</v>
      </c>
      <c r="Z13">
        <f t="shared" si="25"/>
        <v>-4.1122567689932406E-5</v>
      </c>
      <c r="AA13">
        <f>Z13*Input!X14/100</f>
        <v>-6.1382603392275234E-7</v>
      </c>
      <c r="AB13">
        <v>0.05</v>
      </c>
      <c r="AC13">
        <v>0.85</v>
      </c>
      <c r="AD13">
        <f>(((Input!G14*$L$4*0.000000001*Input!U14*(230/229))-((AB13*0.000000000000001)+(Input!G14*AC13*0.000000000000001)))/Input!F14)*1000000000000</f>
        <v>311.28315354707445</v>
      </c>
      <c r="AE13">
        <f>AD13*Input!V14/100</f>
        <v>1.179117014909042</v>
      </c>
      <c r="AF13">
        <f t="shared" si="2"/>
        <v>14.190939420536782</v>
      </c>
      <c r="AG13">
        <f>AF13*Input!V14/100</f>
        <v>5.3754203970334459E-2</v>
      </c>
      <c r="AH13">
        <f t="shared" si="3"/>
        <v>-345088.84580208245</v>
      </c>
      <c r="AI13">
        <f t="shared" si="4"/>
        <v>-5314.3239909042422</v>
      </c>
      <c r="AJ13">
        <f t="shared" si="5"/>
        <v>0.29303321213447475</v>
      </c>
      <c r="AK13">
        <f t="shared" si="6"/>
        <v>0.74153749510641354</v>
      </c>
      <c r="AL13">
        <f t="shared" si="7"/>
        <v>0.97616877757567544</v>
      </c>
      <c r="AM13">
        <f t="shared" si="8"/>
        <v>3.7118393958624528E-3</v>
      </c>
      <c r="AN13">
        <f>AL13*1/((AN12+AN14)/2)</f>
        <v>0.97582816375652703</v>
      </c>
      <c r="AO13">
        <f t="shared" si="9"/>
        <v>3.710544226603065E-3</v>
      </c>
      <c r="AP13">
        <f t="shared" si="38"/>
        <v>404.17989999999998</v>
      </c>
      <c r="AQ13">
        <f t="shared" si="39"/>
        <v>17.431999999999999</v>
      </c>
      <c r="AR13">
        <f t="shared" si="12"/>
        <v>4.3129309498072521</v>
      </c>
      <c r="AS13">
        <f t="shared" si="13"/>
        <v>-2.828746247380983E-6</v>
      </c>
      <c r="AT13">
        <f t="shared" si="14"/>
        <v>-4.2234421270193853E-8</v>
      </c>
      <c r="AU13">
        <v>0.75</v>
      </c>
      <c r="AV13">
        <f t="shared" si="15"/>
        <v>0.375</v>
      </c>
      <c r="AW13">
        <f t="shared" si="40"/>
        <v>404.18009999999998</v>
      </c>
      <c r="AX13">
        <f t="shared" si="17"/>
        <v>17.343449669799998</v>
      </c>
      <c r="AY13">
        <f t="shared" si="18"/>
        <v>16.967248745228613</v>
      </c>
      <c r="AZ13" t="str">
        <f>Input!B14</f>
        <v>WM-1-6-1</v>
      </c>
      <c r="BA13">
        <f>Input!E14</f>
        <v>0</v>
      </c>
      <c r="BB13">
        <f>((U13-1)*EXP(0.0000028263*AW13*1000))*1000</f>
        <v>0.91838819464332222</v>
      </c>
      <c r="BC13">
        <f t="shared" si="20"/>
        <v>2.3244704149024926</v>
      </c>
      <c r="BD13">
        <f t="shared" si="21"/>
        <v>404122.1</v>
      </c>
      <c r="BE13">
        <f t="shared" si="22"/>
        <v>8483.6243726143057</v>
      </c>
      <c r="BF13">
        <f t="shared" si="23"/>
        <v>4.1979426362724475</v>
      </c>
      <c r="BH13">
        <f t="shared" si="26"/>
        <v>1.6531606827198711E-5</v>
      </c>
      <c r="BI13">
        <f t="shared" si="27"/>
        <v>6.2860717232218439E-8</v>
      </c>
      <c r="BJ13">
        <f t="shared" si="28"/>
        <v>5.8439091068572152E-5</v>
      </c>
      <c r="BK13">
        <f t="shared" si="29"/>
        <v>2.0640880487535541E-6</v>
      </c>
      <c r="BL13">
        <f t="shared" si="30"/>
        <v>-3.8439317280128754E-7</v>
      </c>
      <c r="BM13">
        <f t="shared" si="31"/>
        <v>3.8024565844861809E-3</v>
      </c>
      <c r="BN13">
        <f t="shared" si="32"/>
        <v>3.4690910685721544E-6</v>
      </c>
      <c r="BO13">
        <f t="shared" si="33"/>
        <v>3.5320331151823751E-2</v>
      </c>
    </row>
    <row r="14" spans="1:67" ht="15" customHeight="1" x14ac:dyDescent="0.25">
      <c r="A14">
        <f>Input!A15</f>
        <v>9186</v>
      </c>
      <c r="B14">
        <f>Input!B15</f>
        <v>0</v>
      </c>
      <c r="C14">
        <f>Input!O15</f>
        <v>2.0511607493125878</v>
      </c>
      <c r="D14">
        <f>C14*Input!P15/100</f>
        <v>8.8783447486055697E-3</v>
      </c>
      <c r="E14">
        <f>Input!M15</f>
        <v>2.699309545259597</v>
      </c>
      <c r="F14">
        <f>E14*Input!N15/100</f>
        <v>1.8433136443729865E-4</v>
      </c>
      <c r="G14">
        <f t="shared" si="0"/>
        <v>372.18080010039324</v>
      </c>
      <c r="H14">
        <f>G14*Input!L15/100</f>
        <v>1.738072277894669E-2</v>
      </c>
      <c r="I14">
        <v>0</v>
      </c>
      <c r="J14">
        <f>(((C14*$G$4*0.000000001*Input!G15*(234/233))-(I14*0.000000000000001))/Input!F15)*1000000000000</f>
        <v>750.23639362592473</v>
      </c>
      <c r="K14">
        <f>J14*Input!P15/100</f>
        <v>3.2473599876527395</v>
      </c>
      <c r="L14">
        <f t="shared" si="1"/>
        <v>10.37522398368578</v>
      </c>
      <c r="M14">
        <f>L14*Input!P15/100</f>
        <v>4.4908628152149424E-2</v>
      </c>
      <c r="N14">
        <v>0</v>
      </c>
      <c r="O14">
        <f>(((G14*$D$4*0.000000001*Input!G15*(238/236))-(N14*0.000000001))/Input!F15)*1000000</f>
        <v>13.712904477494591</v>
      </c>
      <c r="P14">
        <f>O14*Input!N15/100</f>
        <v>9.3643146528858928E-4</v>
      </c>
      <c r="Q14">
        <f t="shared" si="24"/>
        <v>10.231186783705125</v>
      </c>
      <c r="R14">
        <f>Q14*Input!N15/100</f>
        <v>6.9867074821604053E-4</v>
      </c>
      <c r="S14">
        <f>Input!S15*0.0000028263/0.000000000155125</f>
        <v>0.99804528221330513</v>
      </c>
      <c r="T14">
        <f>S14*Input!T15/100</f>
        <v>8.3575153632138241E-4</v>
      </c>
      <c r="U14">
        <f>S14</f>
        <v>0.99804528221330513</v>
      </c>
      <c r="V14">
        <f>U14*Input!T15/100</f>
        <v>8.3575153632138241E-4</v>
      </c>
      <c r="W14">
        <v>0</v>
      </c>
      <c r="X14">
        <f>((($L$4*0.000000001*Input!G15/Input!W15*(232/229))-(W14*0.000000001))/Input!F15)*1000000000</f>
        <v>0.88726058649854189</v>
      </c>
      <c r="Y14">
        <f>X14*Input!X15/100</f>
        <v>4.1154738641979742E-3</v>
      </c>
      <c r="Z14">
        <f t="shared" si="25"/>
        <v>2.1664364809333313E-4</v>
      </c>
      <c r="AA14">
        <f>Z14*Input!X15/100</f>
        <v>1.0048809618504124E-6</v>
      </c>
      <c r="AB14">
        <v>0</v>
      </c>
      <c r="AC14">
        <v>0.85</v>
      </c>
      <c r="AD14">
        <f>(((Input!G15*$L$4*0.000000001*Input!U15*(230/229))-((AB14*0.000000000000001)+(Input!G15*AC14*0.000000000000001)))/Input!F15)*1000000000000</f>
        <v>224.38435348192669</v>
      </c>
      <c r="AE14">
        <f>AD14*Input!V15/100</f>
        <v>0.70146201694077748</v>
      </c>
      <c r="AF14">
        <f t="shared" si="2"/>
        <v>10.229351414922592</v>
      </c>
      <c r="AG14">
        <f>AF14*Input!V15/100</f>
        <v>3.1978617778648084E-2</v>
      </c>
      <c r="AH14">
        <f t="shared" si="3"/>
        <v>47217.407502829919</v>
      </c>
      <c r="AI14">
        <f t="shared" si="4"/>
        <v>264.11247534883961</v>
      </c>
      <c r="AJ14">
        <f t="shared" si="5"/>
        <v>-1.9547177866948706</v>
      </c>
      <c r="AK14">
        <f t="shared" si="6"/>
        <v>0.83575153632138244</v>
      </c>
      <c r="AL14">
        <f t="shared" si="7"/>
        <v>0.99982061037283998</v>
      </c>
      <c r="AM14">
        <f t="shared" si="8"/>
        <v>3.1263476180188603E-3</v>
      </c>
      <c r="AN14">
        <f>AF14/Q14</f>
        <v>0.99982061037283998</v>
      </c>
      <c r="AO14">
        <f t="shared" si="9"/>
        <v>3.1263476180188603E-3</v>
      </c>
      <c r="AP14" t="str">
        <f t="shared" ref="AP14:AP15" si="42">ThU_Alter_Kombi(AN14,U14)</f>
        <v>Out of range</v>
      </c>
      <c r="AQ14" t="e">
        <f t="shared" ref="AQ14:AQ15" si="43">Montealter(AN14,AO14,U14,V14)</f>
        <v>#VALUE!</v>
      </c>
      <c r="AR14" t="e">
        <f t="shared" si="12"/>
        <v>#VALUE!</v>
      </c>
      <c r="AS14">
        <f t="shared" si="13"/>
        <v>2.1174830708630435E-5</v>
      </c>
      <c r="AT14">
        <f t="shared" si="14"/>
        <v>9.8228082463544277E-8</v>
      </c>
      <c r="AU14">
        <v>0.75</v>
      </c>
      <c r="AV14">
        <f t="shared" si="15"/>
        <v>0.375</v>
      </c>
      <c r="AW14" t="str">
        <f t="shared" ref="AW14:AW15" si="44">marincorr_age(AN14,U14,AS14,AU14)</f>
        <v>Out of range</v>
      </c>
      <c r="AX14">
        <f t="shared" si="17"/>
        <v>338.51356045099999</v>
      </c>
      <c r="AY14" t="e">
        <f t="shared" si="18"/>
        <v>#VALUE!</v>
      </c>
      <c r="AZ14">
        <f>Input!B15</f>
        <v>0</v>
      </c>
      <c r="BA14">
        <f>Input!E15</f>
        <v>0</v>
      </c>
      <c r="BB14" t="e">
        <f t="shared" ref="BB14" si="45">((U14-1)*EXP(0.0000028263*AW14*1000))*1000</f>
        <v>#VALUE!</v>
      </c>
      <c r="BC14" t="e">
        <f t="shared" si="20"/>
        <v>#VALUE!</v>
      </c>
      <c r="BD14" t="e">
        <f t="shared" si="21"/>
        <v>#VALUE!</v>
      </c>
      <c r="BE14" t="e">
        <f t="shared" si="22"/>
        <v>#VALUE!</v>
      </c>
      <c r="BF14" t="e">
        <f t="shared" si="23"/>
        <v>#VALUE!</v>
      </c>
      <c r="BH14">
        <f t="shared" si="26"/>
        <v>1.6932155184744453E-5</v>
      </c>
      <c r="BI14">
        <f t="shared" si="27"/>
        <v>5.2945300867534021E-8</v>
      </c>
      <c r="BJ14">
        <f t="shared" si="28"/>
        <v>5.564546508840953E-5</v>
      </c>
      <c r="BK14">
        <f t="shared" si="29"/>
        <v>2.4088853242239776E-7</v>
      </c>
      <c r="BL14">
        <f t="shared" si="30"/>
        <v>1.6155184744453876E-8</v>
      </c>
      <c r="BM14">
        <f t="shared" si="31"/>
        <v>3.1269085529783427E-3</v>
      </c>
      <c r="BN14">
        <f t="shared" si="32"/>
        <v>6.7546508840953293E-7</v>
      </c>
      <c r="BO14">
        <f t="shared" si="33"/>
        <v>4.328987672933886E-3</v>
      </c>
    </row>
    <row r="15" spans="1:67" ht="15" customHeight="1" x14ac:dyDescent="0.25">
      <c r="A15">
        <f>Input!A16</f>
        <v>9718</v>
      </c>
      <c r="B15" t="str">
        <f>Input!B16</f>
        <v>WM-4 (19.5)</v>
      </c>
      <c r="C15">
        <f>Input!O16</f>
        <v>26.7749323068</v>
      </c>
      <c r="D15">
        <f>C15*Input!P16/100</f>
        <v>0.85094958175274571</v>
      </c>
      <c r="E15">
        <f>Input!M16</f>
        <v>33.457010076556088</v>
      </c>
      <c r="F15">
        <f>E15*Input!N16/100</f>
        <v>1.1364286413844307E-2</v>
      </c>
      <c r="G15">
        <f t="shared" si="0"/>
        <v>4613.0525493555533</v>
      </c>
      <c r="H15">
        <f>G15*Input!L16/100</f>
        <v>0.15200526558478258</v>
      </c>
      <c r="I15">
        <v>0.3</v>
      </c>
      <c r="J15">
        <f>(((C15*$G$4*0.000000001*Input!G16*(234/233))-(I15*0.000000000000001))/Input!F16)*1000000000000</f>
        <v>804.30471188579202</v>
      </c>
      <c r="K15">
        <f>J15*Input!P16/100</f>
        <v>25.562072401847132</v>
      </c>
      <c r="L15">
        <f t="shared" si="1"/>
        <v>11.12294952344017</v>
      </c>
      <c r="M15">
        <f>L15*Input!P16/100</f>
        <v>0.35350488047450568</v>
      </c>
      <c r="N15">
        <v>5.0000000000000001E-3</v>
      </c>
      <c r="O15">
        <f>(((G15*$D$4*0.000000001*Input!G16*(238/236))-(N15*0.000000001))/Input!F16)*1000000</f>
        <v>13.959125344779896</v>
      </c>
      <c r="P15">
        <f>O15*Input!N16/100</f>
        <v>4.7414726582513892E-3</v>
      </c>
      <c r="Q15">
        <f t="shared" si="24"/>
        <v>10.414891970842989</v>
      </c>
      <c r="R15">
        <f>Q15*Input!N16/100</f>
        <v>3.5376088614936497E-3</v>
      </c>
      <c r="S15">
        <f>Input!S16*0.0000028263/0.000000000155125</f>
        <v>1.0003489203877851</v>
      </c>
      <c r="T15">
        <f>S15*Input!T16/100</f>
        <v>6.243579015636579E-4</v>
      </c>
      <c r="U15">
        <f>S15*1/((U14+U16)/2)</f>
        <v>1.0027566764317426</v>
      </c>
      <c r="V15">
        <f>U15*Input!T16/100</f>
        <v>6.2586067872515041E-4</v>
      </c>
      <c r="W15">
        <v>3.0000000000000001E-3</v>
      </c>
      <c r="X15">
        <f>((($L$4*0.000000001*Input!G16/Input!W16*(232/229))-(W15*0.000000001))/Input!F16)*1000000000</f>
        <v>1.0314487891923274</v>
      </c>
      <c r="Y15">
        <f>X15*Input!X16/100</f>
        <v>5.7536308375140842E-3</v>
      </c>
      <c r="Z15">
        <f t="shared" si="25"/>
        <v>2.518502815434644E-4</v>
      </c>
      <c r="AA15">
        <f>Z15*Input!X16/100</f>
        <v>1.4048720222549853E-6</v>
      </c>
      <c r="AB15">
        <v>0.05</v>
      </c>
      <c r="AC15">
        <v>0.85</v>
      </c>
      <c r="AD15">
        <f>(((Input!G16*$L$4*0.000000001*Input!U16*(230/229))-((AB15*0.000000000000001)+(Input!G16*AC15*0.000000000000001)))/Input!F16)*1000000000000</f>
        <v>222.4510773020715</v>
      </c>
      <c r="AE15">
        <f>AD15*Input!V16/100</f>
        <v>0.95759509890727434</v>
      </c>
      <c r="AF15">
        <f t="shared" si="2"/>
        <v>10.141216207993244</v>
      </c>
      <c r="AG15">
        <f>AF15*Input!V16/100</f>
        <v>4.3655346854294202E-2</v>
      </c>
      <c r="AH15">
        <f t="shared" si="3"/>
        <v>40266.844832742703</v>
      </c>
      <c r="AI15">
        <f t="shared" si="4"/>
        <v>283.72322015682147</v>
      </c>
      <c r="AJ15">
        <f t="shared" si="5"/>
        <v>2.7566764317425996</v>
      </c>
      <c r="AK15">
        <f t="shared" si="6"/>
        <v>0.62586067872515039</v>
      </c>
      <c r="AL15">
        <f t="shared" si="7"/>
        <v>0.97372264987328583</v>
      </c>
      <c r="AM15">
        <f t="shared" si="8"/>
        <v>4.2046559027981113E-3</v>
      </c>
      <c r="AN15">
        <f>AL15*1/((AN14+AN16)/2)</f>
        <v>0.9741299296545658</v>
      </c>
      <c r="AO15">
        <f t="shared" si="9"/>
        <v>4.2064145877138536E-3</v>
      </c>
      <c r="AP15">
        <f t="shared" si="42"/>
        <v>384.18869999999998</v>
      </c>
      <c r="AQ15">
        <f t="shared" si="43"/>
        <v>16.36</v>
      </c>
      <c r="AR15">
        <f t="shared" si="12"/>
        <v>4.2583240995896023</v>
      </c>
      <c r="AS15">
        <f t="shared" si="13"/>
        <v>2.4181746891713507E-5</v>
      </c>
      <c r="AT15">
        <f t="shared" si="14"/>
        <v>1.3514054101018836E-7</v>
      </c>
      <c r="AU15">
        <v>0.75</v>
      </c>
      <c r="AV15">
        <f t="shared" si="15"/>
        <v>0.375</v>
      </c>
      <c r="AW15">
        <f t="shared" si="44"/>
        <v>384.18669999999997</v>
      </c>
      <c r="AX15">
        <f t="shared" si="17"/>
        <v>15.9161013519</v>
      </c>
      <c r="AY15">
        <f t="shared" si="18"/>
        <v>15.658050397821558</v>
      </c>
      <c r="AZ15" t="str">
        <f>Input!B16</f>
        <v>WM-4 (19.5)</v>
      </c>
      <c r="BA15">
        <f>Input!E16</f>
        <v>0</v>
      </c>
      <c r="BB15">
        <f>((U15-1)*EXP(0.0000028263*AW15*1000))*1000</f>
        <v>8.1649665766243942</v>
      </c>
      <c r="BC15">
        <f t="shared" si="20"/>
        <v>1.8897655821025847</v>
      </c>
      <c r="BD15">
        <f t="shared" si="21"/>
        <v>384128.69999999995</v>
      </c>
      <c r="BE15">
        <f t="shared" si="22"/>
        <v>7829.0251989107792</v>
      </c>
      <c r="BF15">
        <f t="shared" si="23"/>
        <v>4.0756357255005335</v>
      </c>
      <c r="BH15">
        <f t="shared" si="26"/>
        <v>1.6490181182009099E-5</v>
      </c>
      <c r="BI15">
        <f t="shared" si="27"/>
        <v>7.1206659980814645E-8</v>
      </c>
      <c r="BJ15">
        <f t="shared" si="28"/>
        <v>5.8603493426289961E-5</v>
      </c>
      <c r="BK15">
        <f t="shared" si="29"/>
        <v>1.8626178276038326E-6</v>
      </c>
      <c r="BL15">
        <f t="shared" si="30"/>
        <v>-4.2581881799089914E-7</v>
      </c>
      <c r="BM15">
        <f t="shared" si="31"/>
        <v>4.3181247795204096E-3</v>
      </c>
      <c r="BN15">
        <f t="shared" si="32"/>
        <v>3.6334934262899636E-6</v>
      </c>
      <c r="BO15">
        <f t="shared" si="33"/>
        <v>3.1783392400430661E-2</v>
      </c>
    </row>
    <row r="16" spans="1:67" ht="15" customHeight="1" x14ac:dyDescent="0.25">
      <c r="A16">
        <f>Input!A17</f>
        <v>9186</v>
      </c>
      <c r="B16">
        <f>Input!B17</f>
        <v>0</v>
      </c>
      <c r="C16">
        <f>Input!O17</f>
        <v>2.0600448507810172</v>
      </c>
      <c r="D16">
        <f>C16*Input!P17/100</f>
        <v>9.9180910525764887E-3</v>
      </c>
      <c r="E16">
        <f>Input!M17</f>
        <v>2.6994639770549971</v>
      </c>
      <c r="F16">
        <f>E16*Input!N17/100</f>
        <v>1.9885247104740081E-4</v>
      </c>
      <c r="G16">
        <f t="shared" si="0"/>
        <v>372.20209315634298</v>
      </c>
      <c r="H16">
        <f>G16*Input!L17/100</f>
        <v>2.0010499261967903E-2</v>
      </c>
      <c r="I16">
        <v>0</v>
      </c>
      <c r="J16">
        <f>(((C16*$G$4*0.000000001*Input!G17*(234/233))-(I16*0.000000000000001))/Input!F17)*1000000000000</f>
        <v>753.48585920219159</v>
      </c>
      <c r="K16">
        <f>J16*Input!P17/100</f>
        <v>3.6276595412778998</v>
      </c>
      <c r="L16">
        <f t="shared" si="1"/>
        <v>10.420161730597929</v>
      </c>
      <c r="M16">
        <f>L16*Input!P17/100</f>
        <v>5.016789454242284E-2</v>
      </c>
      <c r="N16">
        <v>0</v>
      </c>
      <c r="O16">
        <f>(((G16*$D$4*0.000000001*Input!G17*(238/236))-(N16*0.000000001))/Input!F17)*1000000</f>
        <v>13.713689014585688</v>
      </c>
      <c r="P16">
        <f>O16*Input!N17/100</f>
        <v>1.0102009031811581E-3</v>
      </c>
      <c r="Q16">
        <f t="shared" si="24"/>
        <v>10.231772126185334</v>
      </c>
      <c r="R16">
        <f>Q16*Input!N17/100</f>
        <v>7.5371006532398699E-4</v>
      </c>
      <c r="S16">
        <f>Input!S17*0.0000028263/0.000000000155125</f>
        <v>0.99715244401370873</v>
      </c>
      <c r="T16">
        <f>S16*Input!T17/100</f>
        <v>1.0491821695574385E-3</v>
      </c>
      <c r="U16">
        <f>S16</f>
        <v>0.99715244401370873</v>
      </c>
      <c r="V16">
        <f>U16*Input!T17/100</f>
        <v>1.0491821695574385E-3</v>
      </c>
      <c r="W16">
        <v>0</v>
      </c>
      <c r="X16">
        <f>((($L$4*0.000000001*Input!G17/Input!W17*(232/229))-(W16*0.000000001))/Input!F17)*1000000000</f>
        <v>0.88794831649281813</v>
      </c>
      <c r="Y16">
        <f>X16*Input!X17/100</f>
        <v>4.083445324494255E-3</v>
      </c>
      <c r="Z16">
        <f t="shared" si="25"/>
        <v>2.1681157207996166E-4</v>
      </c>
      <c r="AA16">
        <f>Z16*Input!X17/100</f>
        <v>9.9706050888529327E-7</v>
      </c>
      <c r="AB16">
        <v>0</v>
      </c>
      <c r="AC16">
        <v>0.85</v>
      </c>
      <c r="AD16">
        <f>(((Input!G17*$L$4*0.000000001*Input!U17*(230/229))-((AB16*0.000000000000001)+(Input!G17*AC16*0.000000000000001)))/Input!F17)*1000000000000</f>
        <v>224.29004158853837</v>
      </c>
      <c r="AE16">
        <f>AD16*Input!V17/100</f>
        <v>0.64443835608224642</v>
      </c>
      <c r="AF16">
        <f t="shared" si="2"/>
        <v>10.225051874936382</v>
      </c>
      <c r="AG16">
        <f>AF16*Input!V17/100</f>
        <v>2.9378993264569549E-2</v>
      </c>
      <c r="AH16">
        <f t="shared" si="3"/>
        <v>47161.00610702324</v>
      </c>
      <c r="AI16">
        <f t="shared" si="4"/>
        <v>255.73234462183692</v>
      </c>
      <c r="AJ16">
        <f t="shared" si="5"/>
        <v>-2.8475559862912725</v>
      </c>
      <c r="AK16">
        <f t="shared" si="6"/>
        <v>1.0491821695574384</v>
      </c>
      <c r="AL16">
        <f t="shared" si="7"/>
        <v>0.99934319772116964</v>
      </c>
      <c r="AM16">
        <f t="shared" si="8"/>
        <v>2.8722929648227389E-3</v>
      </c>
      <c r="AN16">
        <f>AF16/Q16</f>
        <v>0.99934319772116964</v>
      </c>
      <c r="AO16">
        <f t="shared" si="9"/>
        <v>2.8722929648227389E-3</v>
      </c>
      <c r="AP16" t="str">
        <f t="shared" ref="AP16:AP17" si="46">ThU_Alter_Kombi(AN16,U16)</f>
        <v>Out of range</v>
      </c>
      <c r="AQ16" t="e">
        <f t="shared" ref="AQ16:AQ17" si="47">Montealter(AN16,AO16,U16,V16)</f>
        <v>#VALUE!</v>
      </c>
      <c r="AR16" t="e">
        <f t="shared" si="12"/>
        <v>#VALUE!</v>
      </c>
      <c r="AS16">
        <f t="shared" si="13"/>
        <v>2.1190031346094349E-5</v>
      </c>
      <c r="AT16">
        <f t="shared" si="14"/>
        <v>9.745999060985159E-8</v>
      </c>
      <c r="AU16">
        <v>0.75</v>
      </c>
      <c r="AV16">
        <f t="shared" si="15"/>
        <v>0.375</v>
      </c>
      <c r="AW16" t="str">
        <f t="shared" ref="AW16:AW17" si="48">marincorr_age(AN16,U16,AS16,AU16)</f>
        <v>Out of range</v>
      </c>
      <c r="AX16">
        <f t="shared" si="17"/>
        <v>0</v>
      </c>
      <c r="AY16" t="e">
        <f t="shared" si="18"/>
        <v>#VALUE!</v>
      </c>
      <c r="AZ16">
        <f>Input!B17</f>
        <v>0</v>
      </c>
      <c r="BA16">
        <f>Input!E17</f>
        <v>0</v>
      </c>
      <c r="BB16" t="e">
        <f t="shared" ref="BB16" si="49">((U16-1)*EXP(0.0000028263*AW16*1000))*1000</f>
        <v>#VALUE!</v>
      </c>
      <c r="BC16" t="e">
        <f t="shared" si="20"/>
        <v>#VALUE!</v>
      </c>
      <c r="BD16" t="e">
        <f t="shared" si="21"/>
        <v>#VALUE!</v>
      </c>
      <c r="BE16" t="e">
        <f t="shared" si="22"/>
        <v>#VALUE!</v>
      </c>
      <c r="BF16" t="e">
        <f t="shared" si="23"/>
        <v>#VALUE!</v>
      </c>
      <c r="BH16">
        <f t="shared" si="26"/>
        <v>1.6924070109260522E-5</v>
      </c>
      <c r="BI16">
        <f t="shared" si="27"/>
        <v>4.864283623668483E-8</v>
      </c>
      <c r="BJ16">
        <f t="shared" si="28"/>
        <v>5.5883282648775092E-5</v>
      </c>
      <c r="BK16">
        <f t="shared" si="29"/>
        <v>2.6908169383975759E-7</v>
      </c>
      <c r="BL16">
        <f t="shared" si="30"/>
        <v>8.0701092605234758E-9</v>
      </c>
      <c r="BM16">
        <f t="shared" si="31"/>
        <v>2.8741807332781266E-3</v>
      </c>
      <c r="BN16">
        <f t="shared" si="32"/>
        <v>9.1328264877509524E-7</v>
      </c>
      <c r="BO16">
        <f t="shared" si="33"/>
        <v>4.8150659926498715E-3</v>
      </c>
    </row>
    <row r="17" spans="1:67" x14ac:dyDescent="0.25">
      <c r="A17">
        <f>Input!A18</f>
        <v>9719</v>
      </c>
      <c r="B17" t="str">
        <f>Input!B18</f>
        <v>WM-4 (65)</v>
      </c>
      <c r="C17">
        <f>Input!O18</f>
        <v>25.337552824466801</v>
      </c>
      <c r="D17">
        <f>C17*Input!P18/100</f>
        <v>0.64298328276025363</v>
      </c>
      <c r="E17">
        <f>Input!M18</f>
        <v>31.720879153273788</v>
      </c>
      <c r="F17">
        <f>E17*Input!N18/100</f>
        <v>8.4831560762595164E-3</v>
      </c>
      <c r="G17">
        <f t="shared" si="0"/>
        <v>4373.6748176533902</v>
      </c>
      <c r="H17">
        <f>G17*Input!L18/100</f>
        <v>0.13422834294751049</v>
      </c>
      <c r="I17">
        <v>0.3</v>
      </c>
      <c r="J17">
        <f>(((C17*$G$4*0.000000001*Input!G18*(234/233))-(I17*0.000000000000001))/Input!F18)*1000000000000</f>
        <v>739.96648580013459</v>
      </c>
      <c r="K17">
        <f>J17*Input!P18/100</f>
        <v>18.777901854551004</v>
      </c>
      <c r="L17">
        <f t="shared" si="1"/>
        <v>10.233198623559744</v>
      </c>
      <c r="M17">
        <f>L17*Input!P18/100</f>
        <v>0.25968473315862206</v>
      </c>
      <c r="N17">
        <v>5.0000000000000001E-3</v>
      </c>
      <c r="O17">
        <f>(((G17*$D$4*0.000000001*Input!G18*(238/236))-(N17*0.000000001))/Input!F18)*1000000</f>
        <v>12.86682852328294</v>
      </c>
      <c r="P17">
        <f>O17*Input!N18/100</f>
        <v>3.4409927304367245E-3</v>
      </c>
      <c r="Q17">
        <f t="shared" si="24"/>
        <v>9.5999302081964402</v>
      </c>
      <c r="R17">
        <f>Q17*Input!N18/100</f>
        <v>2.5673218539696134E-3</v>
      </c>
      <c r="S17">
        <f>Input!S18*0.0000028263/0.000000000155125</f>
        <v>0.99984040999595647</v>
      </c>
      <c r="T17">
        <f>S17*Input!T18/100</f>
        <v>6.1599835747687642E-4</v>
      </c>
      <c r="U17">
        <f>S17*1/((U16+U18)/2)</f>
        <v>1.0025355883298961</v>
      </c>
      <c r="V17">
        <f>U17*Input!T18/100</f>
        <v>6.1765884790136402E-4</v>
      </c>
      <c r="W17">
        <v>3.0000000000000001E-3</v>
      </c>
      <c r="X17">
        <f>((($L$4*0.000000001*Input!G18/Input!W18*(232/229))-(W17*0.000000001))/Input!F18)*1000000000</f>
        <v>28.164970491480858</v>
      </c>
      <c r="Y17">
        <f>X17*Input!X18/100</f>
        <v>7.6115837512021708E-2</v>
      </c>
      <c r="Z17">
        <f t="shared" si="25"/>
        <v>6.8770799115458262E-3</v>
      </c>
      <c r="AA17">
        <f>Z17*Input!X18/100</f>
        <v>1.8585309622914095E-5</v>
      </c>
      <c r="AB17">
        <v>0.05</v>
      </c>
      <c r="AC17">
        <v>0.85</v>
      </c>
      <c r="AD17">
        <f>(((Input!G18*$L$4*0.000000001*Input!U18*(230/229))-((AB17*0.000000000000001)+(Input!G18*AC17*0.000000000000001)))/Input!F18)*1000000000000</f>
        <v>206.14980683872349</v>
      </c>
      <c r="AE17">
        <f>AD17*Input!V18/100</f>
        <v>0.53759892547727528</v>
      </c>
      <c r="AF17">
        <f t="shared" si="2"/>
        <v>9.398065353258108</v>
      </c>
      <c r="AG17">
        <f>AF17*Input!V18/100</f>
        <v>2.450834135114853E-2</v>
      </c>
      <c r="AH17">
        <f t="shared" si="3"/>
        <v>1366.5778897639152</v>
      </c>
      <c r="AI17">
        <f t="shared" si="4"/>
        <v>5.1322532529688649</v>
      </c>
      <c r="AJ17">
        <f t="shared" si="5"/>
        <v>2.535588329896088</v>
      </c>
      <c r="AK17">
        <f t="shared" si="6"/>
        <v>0.61765884790136405</v>
      </c>
      <c r="AL17">
        <f t="shared" si="7"/>
        <v>0.97897225807267019</v>
      </c>
      <c r="AM17">
        <f t="shared" si="8"/>
        <v>2.5663599052279107E-3</v>
      </c>
      <c r="AN17">
        <f>AL17*1/((AN16+AN18)/2)</f>
        <v>0.9790552068596482</v>
      </c>
      <c r="AO17">
        <f t="shared" si="9"/>
        <v>2.5665773541283595E-3</v>
      </c>
      <c r="AP17">
        <f t="shared" si="46"/>
        <v>405.22680000000003</v>
      </c>
      <c r="AQ17">
        <f t="shared" si="47"/>
        <v>12.041600000000001</v>
      </c>
      <c r="AR17">
        <f t="shared" si="12"/>
        <v>2.971570488427715</v>
      </c>
      <c r="AS17">
        <f t="shared" si="13"/>
        <v>7.1636769876453493E-4</v>
      </c>
      <c r="AT17">
        <f t="shared" si="14"/>
        <v>1.9454397826954549E-6</v>
      </c>
      <c r="AU17">
        <v>0.75</v>
      </c>
      <c r="AV17">
        <f t="shared" si="15"/>
        <v>0.375</v>
      </c>
      <c r="AW17">
        <f t="shared" si="48"/>
        <v>405.1687</v>
      </c>
      <c r="AX17">
        <f t="shared" si="17"/>
        <v>11.8663753282</v>
      </c>
      <c r="AY17">
        <f t="shared" si="18"/>
        <v>11.939666989514452</v>
      </c>
      <c r="AZ17" t="str">
        <f>Input!B18</f>
        <v>WM-4 (65)</v>
      </c>
      <c r="BA17">
        <f>Input!E18</f>
        <v>0</v>
      </c>
      <c r="BB17">
        <f>((U17-1)*EXP(0.0000028263*AW17*1000))*1000</f>
        <v>7.9689599583438726</v>
      </c>
      <c r="BC17">
        <f t="shared" si="20"/>
        <v>1.9595175337203978</v>
      </c>
      <c r="BD17">
        <f t="shared" si="21"/>
        <v>405110.7</v>
      </c>
      <c r="BE17">
        <f t="shared" si="22"/>
        <v>5969.8334947572257</v>
      </c>
      <c r="BF17">
        <f t="shared" si="23"/>
        <v>2.946838437795035</v>
      </c>
      <c r="BH17">
        <f t="shared" si="26"/>
        <v>1.6579084310999346E-5</v>
      </c>
      <c r="BI17">
        <f t="shared" si="27"/>
        <v>4.3461800771461129E-8</v>
      </c>
      <c r="BJ17">
        <f t="shared" si="28"/>
        <v>5.849269570939877E-5</v>
      </c>
      <c r="BK17">
        <f t="shared" si="29"/>
        <v>1.4844335664720457E-6</v>
      </c>
      <c r="BL17">
        <f t="shared" si="30"/>
        <v>-3.3691568900065281E-7</v>
      </c>
      <c r="BM17">
        <f t="shared" si="31"/>
        <v>2.6214837898270726E-3</v>
      </c>
      <c r="BN17">
        <f t="shared" si="32"/>
        <v>3.5226957093987727E-6</v>
      </c>
      <c r="BO17">
        <f t="shared" si="33"/>
        <v>2.5378101461538946E-2</v>
      </c>
    </row>
    <row r="18" spans="1:67" ht="15" customHeight="1" x14ac:dyDescent="0.25">
      <c r="A18">
        <f>Input!A19</f>
        <v>9186</v>
      </c>
      <c r="B18">
        <f>Input!B19</f>
        <v>0</v>
      </c>
      <c r="C18">
        <f>Input!O19</f>
        <v>2.049710078689774</v>
      </c>
      <c r="D18">
        <f>C18*Input!P19/100</f>
        <v>9.9520766621285141E-3</v>
      </c>
      <c r="E18">
        <f>Input!M19</f>
        <v>2.699597622255987</v>
      </c>
      <c r="F18">
        <f>E18*Input!N19/100</f>
        <v>1.8715640827212057E-4</v>
      </c>
      <c r="G18">
        <f t="shared" si="0"/>
        <v>372.22052015665548</v>
      </c>
      <c r="H18">
        <f>G18*Input!L19/100</f>
        <v>1.6362618509412192E-2</v>
      </c>
      <c r="I18">
        <v>0</v>
      </c>
      <c r="J18">
        <f>(((C18*$G$4*0.000000001*Input!G19*(234/233))-(I18*0.000000000000001))/Input!F19)*1000000000000</f>
        <v>749.70579362455294</v>
      </c>
      <c r="K18">
        <f>J18*Input!P19/100</f>
        <v>3.6400901814186279</v>
      </c>
      <c r="L18">
        <f t="shared" si="1"/>
        <v>10.367886171355229</v>
      </c>
      <c r="M18">
        <f>L18*Input!P19/100</f>
        <v>5.0339801259847362E-2</v>
      </c>
      <c r="N18">
        <v>0</v>
      </c>
      <c r="O18">
        <f>(((G18*$D$4*0.000000001*Input!G19*(238/236))-(N18*0.000000001))/Input!F19)*1000000</f>
        <v>13.714367952604585</v>
      </c>
      <c r="P18">
        <f>O18*Input!N19/100</f>
        <v>9.507831191475104E-4</v>
      </c>
      <c r="Q18">
        <f t="shared" si="24"/>
        <v>10.232278681284388</v>
      </c>
      <c r="R18">
        <f>Q18*Input!N19/100</f>
        <v>7.093785053893431E-4</v>
      </c>
      <c r="S18">
        <f>Input!S19*0.0000028263/0.000000000155125</f>
        <v>0.99747083247579815</v>
      </c>
      <c r="T18">
        <f>S18*Input!T19/100</f>
        <v>8.9014991971114168E-4</v>
      </c>
      <c r="U18">
        <f>S18</f>
        <v>0.99747083247579815</v>
      </c>
      <c r="V18">
        <f>U18*Input!T19/100</f>
        <v>8.9014991971114168E-4</v>
      </c>
      <c r="W18">
        <v>0</v>
      </c>
      <c r="X18">
        <f>((($L$4*0.000000001*Input!G19/Input!W19*(232/229))-(W18*0.000000001))/Input!F19)*1000000000</f>
        <v>0.8903944597139678</v>
      </c>
      <c r="Y18">
        <f>X18*Input!X19/100</f>
        <v>2.8947361725409292E-3</v>
      </c>
      <c r="Z18">
        <f t="shared" si="25"/>
        <v>2.1740885026322906E-4</v>
      </c>
      <c r="AA18">
        <f>Z18*Input!X19/100</f>
        <v>7.0681174643615208E-7</v>
      </c>
      <c r="AB18">
        <v>0</v>
      </c>
      <c r="AC18">
        <v>0.85</v>
      </c>
      <c r="AD18">
        <f>(((Input!G19*$L$4*0.000000001*Input!U19*(230/229))-((AB18*0.000000000000001)+(Input!G19*AC18*0.000000000000001)))/Input!F19)*1000000000000</f>
        <v>224.55795036256708</v>
      </c>
      <c r="AE18">
        <f>AD18*Input!V19/100</f>
        <v>0.48498590947163722</v>
      </c>
      <c r="AF18">
        <f t="shared" si="2"/>
        <v>10.237265440428599</v>
      </c>
      <c r="AG18">
        <f>AF18*Input!V19/100</f>
        <v>2.2109791624445013E-2</v>
      </c>
      <c r="AH18">
        <f t="shared" si="3"/>
        <v>47087.620527102597</v>
      </c>
      <c r="AI18">
        <f t="shared" si="4"/>
        <v>183.78610610700349</v>
      </c>
      <c r="AJ18">
        <f t="shared" si="5"/>
        <v>-2.5291675242018474</v>
      </c>
      <c r="AK18">
        <f t="shared" si="6"/>
        <v>0.89014991971114166</v>
      </c>
      <c r="AL18">
        <f t="shared" si="7"/>
        <v>1.0004873556809328</v>
      </c>
      <c r="AM18">
        <f t="shared" si="8"/>
        <v>2.1619016108776284E-3</v>
      </c>
      <c r="AN18">
        <f>AF18/Q18</f>
        <v>1.0004873556809328</v>
      </c>
      <c r="AO18">
        <f t="shared" si="9"/>
        <v>2.1619016108776284E-3</v>
      </c>
      <c r="AP18" t="str">
        <f t="shared" ref="AP18:AP19" si="50">ThU_Alter_Kombi(AN18,U18)</f>
        <v>Out of range</v>
      </c>
      <c r="AQ18" t="e">
        <f t="shared" ref="AQ18:AQ19" si="51">Montealter(AN18,AO18,U18,V18)</f>
        <v>#VALUE!</v>
      </c>
      <c r="AR18" t="e">
        <f t="shared" si="12"/>
        <v>#VALUE!</v>
      </c>
      <c r="AS18">
        <f t="shared" si="13"/>
        <v>2.1247354282960091E-5</v>
      </c>
      <c r="AT18">
        <f t="shared" si="14"/>
        <v>6.9092374842697159E-8</v>
      </c>
      <c r="AU18">
        <v>0.75</v>
      </c>
      <c r="AV18">
        <f t="shared" si="15"/>
        <v>0.375</v>
      </c>
      <c r="AW18" t="str">
        <f t="shared" ref="AW18:AW19" si="52">marincorr_age(AN18,U18,AS18,AU18)</f>
        <v>Out of range</v>
      </c>
      <c r="AX18">
        <f t="shared" si="17"/>
        <v>0</v>
      </c>
      <c r="AY18" t="e">
        <f t="shared" si="18"/>
        <v>#VALUE!</v>
      </c>
      <c r="AZ18">
        <f>Input!B19</f>
        <v>0</v>
      </c>
      <c r="BA18">
        <f>Input!E19</f>
        <v>0</v>
      </c>
      <c r="BB18" t="e">
        <f t="shared" ref="BB18" si="53">((U18-1)*EXP(0.0000028263*AW18*1000))*1000</f>
        <v>#VALUE!</v>
      </c>
      <c r="BC18" t="e">
        <f t="shared" si="20"/>
        <v>#VALUE!</v>
      </c>
      <c r="BD18" t="e">
        <f t="shared" si="21"/>
        <v>#VALUE!</v>
      </c>
      <c r="BE18" t="e">
        <f t="shared" si="22"/>
        <v>#VALUE!</v>
      </c>
      <c r="BF18" t="e">
        <f t="shared" si="23"/>
        <v>#VALUE!</v>
      </c>
      <c r="BH18">
        <f t="shared" si="26"/>
        <v>1.6943446645340688E-5</v>
      </c>
      <c r="BI18">
        <f t="shared" si="27"/>
        <v>3.661222142227946E-8</v>
      </c>
      <c r="BJ18">
        <f t="shared" si="28"/>
        <v>5.5600176392484735E-5</v>
      </c>
      <c r="BK18">
        <f t="shared" si="29"/>
        <v>2.6998629084239707E-7</v>
      </c>
      <c r="BL18">
        <f t="shared" si="30"/>
        <v>2.744664534068899E-8</v>
      </c>
      <c r="BM18">
        <f t="shared" si="31"/>
        <v>2.1608485090810923E-3</v>
      </c>
      <c r="BN18">
        <f t="shared" si="32"/>
        <v>6.3017639248473772E-7</v>
      </c>
      <c r="BO18">
        <f t="shared" si="33"/>
        <v>4.855853135007142E-3</v>
      </c>
    </row>
    <row r="19" spans="1:67" ht="15" customHeight="1" x14ac:dyDescent="0.25">
      <c r="A19">
        <f>Input!A20</f>
        <v>9720</v>
      </c>
      <c r="B19" t="str">
        <f>Input!B20</f>
        <v>WM-5 (3,2)</v>
      </c>
      <c r="C19">
        <f>Input!O20</f>
        <v>17.09807045289071</v>
      </c>
      <c r="D19">
        <f>C19*Input!P20/100</f>
        <v>0.50764926160313883</v>
      </c>
      <c r="E19">
        <f>Input!M20</f>
        <v>19.644058462585509</v>
      </c>
      <c r="F19">
        <f>E19*Input!N20/100</f>
        <v>4.8826813686113323E-3</v>
      </c>
      <c r="G19">
        <f t="shared" si="0"/>
        <v>2708.5227808212899</v>
      </c>
      <c r="H19">
        <f>G19*Input!L20/100</f>
        <v>9.9984041259862599E-2</v>
      </c>
      <c r="I19">
        <v>0.3</v>
      </c>
      <c r="J19">
        <f>(((C19*$G$4*0.000000001*Input!G20*(234/233))-(I19*0.000000000000001))/Input!F20)*1000000000000</f>
        <v>449.97904191000015</v>
      </c>
      <c r="K19">
        <f>J19*Input!P20/100</f>
        <v>13.36007644791751</v>
      </c>
      <c r="L19">
        <f t="shared" si="1"/>
        <v>6.2228830638525494</v>
      </c>
      <c r="M19">
        <f>L19*Input!P20/100</f>
        <v>0.18476014595397441</v>
      </c>
      <c r="N19">
        <v>5.0000000000000001E-3</v>
      </c>
      <c r="O19">
        <f>(((G19*$D$4*0.000000001*Input!G20*(238/236))-(N19*0.000000001))/Input!F20)*1000000</f>
        <v>7.1804865427175963</v>
      </c>
      <c r="P19">
        <f>O19*Input!N20/100</f>
        <v>1.7847649927568521E-3</v>
      </c>
      <c r="Q19">
        <f t="shared" si="24"/>
        <v>5.3573551202806255</v>
      </c>
      <c r="R19">
        <f>Q19*Input!N20/100</f>
        <v>1.3316116972798824E-3</v>
      </c>
      <c r="S19">
        <f>Input!S20*0.0000028263/0.000000000155125</f>
        <v>0.99956654615734097</v>
      </c>
      <c r="T19">
        <f>S19*Input!T20/100</f>
        <v>6.8074022876464784E-4</v>
      </c>
      <c r="U19">
        <f>S19*1/((U18+U20)/2)</f>
        <v>1.0019964246061142</v>
      </c>
      <c r="V19">
        <f>U19*Input!T20/100</f>
        <v>6.8239506206959092E-4</v>
      </c>
      <c r="W19">
        <v>3.0000000000000001E-3</v>
      </c>
      <c r="X19">
        <f>((($L$4*0.000000001*Input!G20/Input!W20*(232/229))-(W19*0.000000001))/Input!F20)*1000000000</f>
        <v>0.35982751742334756</v>
      </c>
      <c r="Y19">
        <f>X19*Input!X20/100</f>
        <v>2.2903749844227291E-3</v>
      </c>
      <c r="Z19">
        <f t="shared" si="25"/>
        <v>8.7859584033365046E-5</v>
      </c>
      <c r="AA19">
        <f>Z19*Input!X20/100</f>
        <v>5.5924403684516243E-7</v>
      </c>
      <c r="AB19">
        <v>0.05</v>
      </c>
      <c r="AC19">
        <v>0.85</v>
      </c>
      <c r="AD19">
        <f>(((Input!G20*$L$4*0.000000001*Input!U20*(230/229))-((AB19*0.000000000000001)+(Input!G20*AC19*0.000000000000001)))/Input!F20)*1000000000000</f>
        <v>115.38497465239948</v>
      </c>
      <c r="AE19">
        <f>AD19*Input!V20/100</f>
        <v>0.41103995731226789</v>
      </c>
      <c r="AF19">
        <f t="shared" si="2"/>
        <v>5.2602306506919607</v>
      </c>
      <c r="AG19">
        <f>AF19*Input!V20/100</f>
        <v>1.8738704832467923E-2</v>
      </c>
      <c r="AH19">
        <f t="shared" si="3"/>
        <v>59870.88043456211</v>
      </c>
      <c r="AI19">
        <f t="shared" si="4"/>
        <v>436.71296805239933</v>
      </c>
      <c r="AJ19">
        <f t="shared" si="5"/>
        <v>1.9964246061141555</v>
      </c>
      <c r="AK19">
        <f t="shared" si="6"/>
        <v>0.68239506206959089</v>
      </c>
      <c r="AL19">
        <f t="shared" si="7"/>
        <v>0.98187081733279291</v>
      </c>
      <c r="AM19">
        <f t="shared" si="8"/>
        <v>3.506256842878822E-3</v>
      </c>
      <c r="AN19">
        <f>AL19*1/((AN18+AN20)/2)</f>
        <v>0.98215451825087585</v>
      </c>
      <c r="AO19">
        <f t="shared" si="9"/>
        <v>3.507269937746089E-3</v>
      </c>
      <c r="AP19">
        <f t="shared" si="50"/>
        <v>423.71660000000003</v>
      </c>
      <c r="AQ19">
        <f t="shared" si="51"/>
        <v>20.119599999999998</v>
      </c>
      <c r="AR19">
        <f t="shared" si="12"/>
        <v>4.7483624667997422</v>
      </c>
      <c r="AS19">
        <f t="shared" si="13"/>
        <v>1.6399805885700339E-5</v>
      </c>
      <c r="AT19">
        <f t="shared" si="14"/>
        <v>1.0446764237462908E-7</v>
      </c>
      <c r="AU19">
        <v>0.75</v>
      </c>
      <c r="AV19">
        <f t="shared" si="15"/>
        <v>0.375</v>
      </c>
      <c r="AW19">
        <f t="shared" si="52"/>
        <v>423.71530000000001</v>
      </c>
      <c r="AX19">
        <f t="shared" si="17"/>
        <v>19.809845833899999</v>
      </c>
      <c r="AY19">
        <f t="shared" si="18"/>
        <v>19.048817792277433</v>
      </c>
      <c r="AZ19" t="str">
        <f>Input!B20</f>
        <v>WM-5 (3,2)</v>
      </c>
      <c r="BA19">
        <f>Input!E20</f>
        <v>0</v>
      </c>
      <c r="BB19">
        <f>((U19-1)*EXP(0.0000028263*AW19*1000))*1000</f>
        <v>6.6121207111696441</v>
      </c>
      <c r="BC19">
        <f t="shared" si="20"/>
        <v>2.2901987200169889</v>
      </c>
      <c r="BD19">
        <f t="shared" si="21"/>
        <v>423657.3</v>
      </c>
      <c r="BE19">
        <f t="shared" si="22"/>
        <v>9524.408896138717</v>
      </c>
      <c r="BF19">
        <f t="shared" si="23"/>
        <v>4.4956643747057123</v>
      </c>
      <c r="BH19">
        <f t="shared" si="26"/>
        <v>1.6628171972021131E-5</v>
      </c>
      <c r="BI19">
        <f>BH19*SQRT(((AE19/AD19)^2)+((P19/O19)^2))</f>
        <v>5.9379136982440695E-8</v>
      </c>
      <c r="BJ19">
        <f t="shared" si="28"/>
        <v>6.3738158775400276E-5</v>
      </c>
      <c r="BK19">
        <f t="shared" si="29"/>
        <v>1.8924803915242026E-6</v>
      </c>
      <c r="BL19">
        <f t="shared" si="30"/>
        <v>-2.8782802797886785E-7</v>
      </c>
      <c r="BM19">
        <f t="shared" si="31"/>
        <v>3.5709960831745743E-3</v>
      </c>
      <c r="BN19">
        <f t="shared" si="32"/>
        <v>8.7681587754002792E-6</v>
      </c>
      <c r="BO19">
        <f t="shared" si="33"/>
        <v>2.9691481961267523E-2</v>
      </c>
    </row>
    <row r="20" spans="1:67" ht="15" customHeight="1" x14ac:dyDescent="0.25">
      <c r="A20">
        <f>Input!A21</f>
        <v>9186</v>
      </c>
      <c r="B20">
        <f>Input!B21</f>
        <v>0</v>
      </c>
      <c r="C20">
        <f>Input!O21</f>
        <v>2.0653466426062481</v>
      </c>
      <c r="D20">
        <f>C20*Input!P21/100</f>
        <v>9.2969461449216011E-3</v>
      </c>
      <c r="E20">
        <f>Input!M21</f>
        <v>2.6992608406338601</v>
      </c>
      <c r="F20">
        <f>E20*Input!N21/100</f>
        <v>2.2630775128375496E-4</v>
      </c>
      <c r="G20">
        <f t="shared" si="0"/>
        <v>372.1740847065966</v>
      </c>
      <c r="H20">
        <f>G20*Input!L21/100</f>
        <v>1.8570666930804364E-2</v>
      </c>
      <c r="I20">
        <v>0</v>
      </c>
      <c r="J20">
        <f>(((C20*$G$4*0.000000001*Input!G21*(234/233))-(I20*0.000000000000001))/Input!F21)*1000000000000</f>
        <v>755.42505250044962</v>
      </c>
      <c r="K20">
        <f>J20*Input!P21/100</f>
        <v>3.4004684176205835</v>
      </c>
      <c r="L20">
        <f t="shared" si="1"/>
        <v>10.446979364330479</v>
      </c>
      <c r="M20">
        <f>L20*Input!P21/100</f>
        <v>4.7026006445448951E-2</v>
      </c>
      <c r="N20">
        <v>0</v>
      </c>
      <c r="O20">
        <f>(((G20*$D$4*0.000000001*Input!G21*(238/236))-(N20*0.000000001))/Input!F21)*1000000</f>
        <v>13.712657050562207</v>
      </c>
      <c r="P20">
        <f>O20*Input!N21/100</f>
        <v>1.1496779171994826E-3</v>
      </c>
      <c r="Q20">
        <f t="shared" si="24"/>
        <v>10.231002178673807</v>
      </c>
      <c r="R20">
        <f>Q20*Input!N21/100</f>
        <v>8.577737510877824E-4</v>
      </c>
      <c r="S20">
        <f>Input!S21*0.0000028263/0.000000000155125</f>
        <v>0.99767909343391104</v>
      </c>
      <c r="T20">
        <f>S20*Input!T21/100</f>
        <v>7.9144996478091667E-4</v>
      </c>
      <c r="U20">
        <f>S20</f>
        <v>0.99767909343391104</v>
      </c>
      <c r="V20">
        <f>U20*Input!T21/100</f>
        <v>7.9144996478091667E-4</v>
      </c>
      <c r="W20">
        <v>0</v>
      </c>
      <c r="X20">
        <f>((($L$4*0.000000001*Input!G21/Input!W21*(232/229))-(W20*0.000000001))/Input!F21)*1000000000</f>
        <v>0.8948318936300903</v>
      </c>
      <c r="Y20">
        <f>X20*Input!X21/100</f>
        <v>3.7860409498871278E-3</v>
      </c>
      <c r="Z20">
        <f t="shared" si="25"/>
        <v>2.1849234465753735E-4</v>
      </c>
      <c r="AA20">
        <f>Z20*Input!X21/100</f>
        <v>9.2444287021831254E-7</v>
      </c>
      <c r="AB20">
        <v>0</v>
      </c>
      <c r="AC20">
        <v>0.85</v>
      </c>
      <c r="AD20">
        <f>(((Input!G21*$L$4*0.000000001*Input!U21*(230/229))-((AB20*0.000000000000001)+(Input!G21*AC20*0.000000000000001)))/Input!F21)*1000000000000</f>
        <v>224.18154060581642</v>
      </c>
      <c r="AE20">
        <f>AD20*Input!V21/100</f>
        <v>0.52983322309658587</v>
      </c>
      <c r="AF20">
        <f t="shared" si="2"/>
        <v>10.220105475314909</v>
      </c>
      <c r="AG20">
        <f>AF20*Input!V21/100</f>
        <v>2.4154314444178066E-2</v>
      </c>
      <c r="AH20">
        <f t="shared" si="3"/>
        <v>46775.576926202142</v>
      </c>
      <c r="AI20">
        <f t="shared" si="4"/>
        <v>226.6909841530655</v>
      </c>
      <c r="AJ20">
        <f t="shared" si="5"/>
        <v>-2.320906566088965</v>
      </c>
      <c r="AK20">
        <f t="shared" si="6"/>
        <v>0.79144996478091667</v>
      </c>
      <c r="AL20">
        <f t="shared" si="7"/>
        <v>0.99893493294512137</v>
      </c>
      <c r="AM20">
        <f t="shared" si="8"/>
        <v>2.3623793202200206E-3</v>
      </c>
      <c r="AN20">
        <f>AF20/Q20</f>
        <v>0.99893493294512137</v>
      </c>
      <c r="AO20">
        <f t="shared" si="9"/>
        <v>2.3623793202200206E-3</v>
      </c>
      <c r="AP20" t="str">
        <f t="shared" ref="AP20:AP22" si="54">ThU_Alter_Kombi(AN20,U20)</f>
        <v>Out of range</v>
      </c>
      <c r="AQ20" t="e">
        <f t="shared" ref="AQ20:AQ22" si="55">Montealter(AN20,AO20,U20,V20)</f>
        <v>#VALUE!</v>
      </c>
      <c r="AR20" t="e">
        <f t="shared" si="12"/>
        <v>#VALUE!</v>
      </c>
      <c r="AS20">
        <f t="shared" si="13"/>
        <v>2.1355908330561945E-5</v>
      </c>
      <c r="AT20">
        <f t="shared" si="14"/>
        <v>9.0374758418096663E-8</v>
      </c>
      <c r="AU20">
        <v>0.75</v>
      </c>
      <c r="AV20">
        <f t="shared" si="15"/>
        <v>0.375</v>
      </c>
      <c r="AW20" t="str">
        <f t="shared" ref="AW20:AW22" si="56">marincorr_age(AN20,U20,AS20,AU20)</f>
        <v>Out of range</v>
      </c>
      <c r="AX20">
        <f t="shared" si="17"/>
        <v>377.95471078349999</v>
      </c>
      <c r="AY20" t="e">
        <f t="shared" si="18"/>
        <v>#VALUE!</v>
      </c>
      <c r="AZ20">
        <f>Input!B21</f>
        <v>0</v>
      </c>
      <c r="BA20">
        <f>Input!E21</f>
        <v>0</v>
      </c>
      <c r="BB20" t="e">
        <f t="shared" ref="BB20" si="57">((U20-1)*EXP(0.0000028263*AW20*1000))*1000</f>
        <v>#VALUE!</v>
      </c>
      <c r="BC20" t="e">
        <f t="shared" si="20"/>
        <v>#VALUE!</v>
      </c>
      <c r="BD20" t="e">
        <f t="shared" si="21"/>
        <v>#VALUE!</v>
      </c>
      <c r="BE20" t="e">
        <f t="shared" si="22"/>
        <v>#VALUE!</v>
      </c>
      <c r="BF20" t="e">
        <f t="shared" si="23"/>
        <v>#VALUE!</v>
      </c>
      <c r="BH20">
        <f t="shared" si="26"/>
        <v>1.6917156066408448E-5</v>
      </c>
      <c r="BI20">
        <f t="shared" si="27"/>
        <v>4.0007350158825144E-8</v>
      </c>
      <c r="BJ20">
        <f t="shared" si="28"/>
        <v>5.6031321896848572E-5</v>
      </c>
      <c r="BK20">
        <f t="shared" si="29"/>
        <v>2.52262995098799E-7</v>
      </c>
      <c r="BL20">
        <f t="shared" si="30"/>
        <v>1.1560664084492018E-9</v>
      </c>
      <c r="BM20">
        <f t="shared" si="31"/>
        <v>2.3648980952694371E-3</v>
      </c>
      <c r="BN20">
        <f t="shared" si="32"/>
        <v>1.0613218968485747E-6</v>
      </c>
      <c r="BO20">
        <f t="shared" si="33"/>
        <v>4.5021781846090502E-3</v>
      </c>
    </row>
    <row r="21" spans="1:67" ht="15" customHeight="1" x14ac:dyDescent="0.25">
      <c r="A21">
        <f>Input!A22</f>
        <v>9721</v>
      </c>
      <c r="B21" t="str">
        <f>Input!B22</f>
        <v>WM-5 (140)</v>
      </c>
      <c r="C21">
        <f>Input!O22</f>
        <v>20.790527895550198</v>
      </c>
      <c r="D21">
        <f>C21*Input!P22/100</f>
        <v>0.50539849802554859</v>
      </c>
      <c r="E21">
        <f>Input!M22</f>
        <v>26.137502130572319</v>
      </c>
      <c r="F21">
        <f>E21*Input!N22/100</f>
        <v>5.4052162178810682E-3</v>
      </c>
      <c r="G21">
        <f t="shared" si="0"/>
        <v>3603.8387937633111</v>
      </c>
      <c r="H21">
        <f>G21*Input!L22/100</f>
        <v>0.105747819667891</v>
      </c>
      <c r="I21">
        <v>0.3</v>
      </c>
      <c r="J21">
        <f>(((C21*$G$4*0.000000001*Input!G22*(234/233))-(I21*0.000000000000001))/Input!F22)*1000000000000</f>
        <v>652.95633947277759</v>
      </c>
      <c r="K21">
        <f>J21*Input!P22/100</f>
        <v>15.872764506207304</v>
      </c>
      <c r="L21">
        <f t="shared" si="1"/>
        <v>9.0299115467537572</v>
      </c>
      <c r="M21">
        <f>L21*Input!P22/100</f>
        <v>0.21950879534952442</v>
      </c>
      <c r="N21">
        <v>5.0000000000000001E-3</v>
      </c>
      <c r="O21">
        <f>(((G21*$D$4*0.000000001*Input!G22*(238/236))-(N21*0.000000001))/Input!F22)*1000000</f>
        <v>11.40149478007058</v>
      </c>
      <c r="P21">
        <f>O21*Input!N22/100</f>
        <v>2.3578207353349115E-3</v>
      </c>
      <c r="Q21">
        <f t="shared" si="24"/>
        <v>8.5066459042128262</v>
      </c>
      <c r="R21">
        <f>Q21*Input!N22/100</f>
        <v>1.7591681168125429E-3</v>
      </c>
      <c r="S21">
        <f>Input!S22*0.0000028263/0.000000000155125</f>
        <v>0.99983178750549628</v>
      </c>
      <c r="T21">
        <f>S21*Input!T22/100</f>
        <v>5.1998057781602351E-4</v>
      </c>
      <c r="U21">
        <f>S21*1/((U20+U22)/2)</f>
        <v>1.0025186427447543</v>
      </c>
      <c r="V21">
        <f>U21*Input!T22/100</f>
        <v>5.2137792540716491E-4</v>
      </c>
      <c r="W21">
        <v>3.0000000000000001E-3</v>
      </c>
      <c r="X21">
        <f>((($L$4*0.000000001*Input!G22/Input!W22*(232/229))-(W21*0.000000001))/Input!F22)*1000000000</f>
        <v>17.3853190942914</v>
      </c>
      <c r="Y21">
        <f>X21*Input!X22/100</f>
        <v>3.8355465572676307E-2</v>
      </c>
      <c r="Z21">
        <f t="shared" si="25"/>
        <v>4.2449974778183842E-3</v>
      </c>
      <c r="AA21">
        <f>Z21*Input!X22/100</f>
        <v>9.3653072303989848E-6</v>
      </c>
      <c r="AB21">
        <v>0.05</v>
      </c>
      <c r="AC21">
        <v>0.85</v>
      </c>
      <c r="AD21">
        <f>(((Input!G22*$L$4*0.000000001*Input!U22*(230/229))-((AB21*0.000000000000001)+(Input!G22*AC21*0.000000000000001)))/Input!F22)*1000000000000</f>
        <v>183.71273370036195</v>
      </c>
      <c r="AE21">
        <f>AD21*Input!V22/100</f>
        <v>0.43159501984492499</v>
      </c>
      <c r="AF21">
        <f t="shared" si="2"/>
        <v>8.3751923129010084</v>
      </c>
      <c r="AG21">
        <f>AF21*Input!V22/100</f>
        <v>1.9675779787737449E-2</v>
      </c>
      <c r="AH21">
        <f t="shared" si="3"/>
        <v>1972.9557806958321</v>
      </c>
      <c r="AI21">
        <f t="shared" si="4"/>
        <v>6.3584569659005661</v>
      </c>
      <c r="AJ21">
        <f t="shared" si="5"/>
        <v>2.5186427447543291</v>
      </c>
      <c r="AK21">
        <f t="shared" si="6"/>
        <v>0.52137792540716488</v>
      </c>
      <c r="AL21">
        <f t="shared" si="7"/>
        <v>0.98454695390027736</v>
      </c>
      <c r="AM21">
        <f t="shared" si="8"/>
        <v>2.3219330927469199E-3</v>
      </c>
      <c r="AN21">
        <f>AL21*1/((AN20+AN22)/2)</f>
        <v>0.98527321401154644</v>
      </c>
      <c r="AO21">
        <f t="shared" si="9"/>
        <v>2.323645888037807E-3</v>
      </c>
      <c r="AP21">
        <f t="shared" si="54"/>
        <v>437.24180000000001</v>
      </c>
      <c r="AQ21">
        <f t="shared" si="55"/>
        <v>14.805300000000001</v>
      </c>
      <c r="AR21">
        <f t="shared" si="12"/>
        <v>3.3860669313867069</v>
      </c>
      <c r="AS21">
        <f t="shared" si="13"/>
        <v>4.9902129765576515E-4</v>
      </c>
      <c r="AT21">
        <f t="shared" si="14"/>
        <v>1.1057661054089641E-6</v>
      </c>
      <c r="AU21">
        <v>0.75</v>
      </c>
      <c r="AV21">
        <f t="shared" si="15"/>
        <v>0.375</v>
      </c>
      <c r="AW21">
        <f t="shared" si="56"/>
        <v>437.20139999999998</v>
      </c>
      <c r="AX21">
        <f t="shared" si="17"/>
        <v>14.2755695458</v>
      </c>
      <c r="AY21">
        <f t="shared" si="18"/>
        <v>14.411991724573554</v>
      </c>
      <c r="AZ21" t="str">
        <f>Input!B22</f>
        <v>WM-5 (140)</v>
      </c>
      <c r="BA21">
        <f>Input!E22</f>
        <v>0</v>
      </c>
      <c r="BB21">
        <f>((U21-1)*EXP(0.0000028263*AW21*1000))*1000</f>
        <v>8.6657847096022724</v>
      </c>
      <c r="BC21">
        <f t="shared" si="20"/>
        <v>1.8276381722570181</v>
      </c>
      <c r="BD21">
        <f t="shared" si="21"/>
        <v>437143.39999999997</v>
      </c>
      <c r="BE21">
        <f t="shared" si="22"/>
        <v>7205.9958622867771</v>
      </c>
      <c r="BF21">
        <f t="shared" si="23"/>
        <v>3.2964193903710179</v>
      </c>
      <c r="BH21">
        <f t="shared" si="26"/>
        <v>1.6673492861774865E-5</v>
      </c>
      <c r="BI21">
        <f>BH21*SQRT(((AE21/AD21)^2)+((P21/O21)^2))</f>
        <v>3.9322385483055326E-8</v>
      </c>
      <c r="BJ21">
        <f t="shared" si="28"/>
        <v>5.8248326128450053E-5</v>
      </c>
      <c r="BK21">
        <f t="shared" si="29"/>
        <v>1.4160141536105918E-6</v>
      </c>
      <c r="BL21">
        <f>BH21-0.000016916</f>
        <v>-2.425071382251338E-7</v>
      </c>
      <c r="BM21">
        <f>BI21/BH21</f>
        <v>2.3583772044071588E-3</v>
      </c>
      <c r="BN21">
        <f>BJ21-0.00005497</f>
        <v>3.2783261284500561E-6</v>
      </c>
      <c r="BO21">
        <f>BK21/BJ21</f>
        <v>2.4309954426638403E-2</v>
      </c>
    </row>
    <row r="22" spans="1:67" ht="15" customHeight="1" x14ac:dyDescent="0.25">
      <c r="A22" s="3">
        <f>Input!A23</f>
        <v>9186</v>
      </c>
      <c r="B22" s="3">
        <f>Input!B23</f>
        <v>0</v>
      </c>
      <c r="C22" s="3">
        <f>Input!O23</f>
        <v>2.052985398839601</v>
      </c>
      <c r="D22" s="3">
        <f>C22*Input!P23/100</f>
        <v>8.1601408156150527E-3</v>
      </c>
      <c r="E22" s="4">
        <f>Input!M23</f>
        <v>2.6992470625863949</v>
      </c>
      <c r="F22" s="5">
        <f>E22*Input!N23/100</f>
        <v>1.7071524717282387E-4</v>
      </c>
      <c r="G22" s="6">
        <f t="shared" ref="G22" si="58">E22*137.88</f>
        <v>372.17218498941213</v>
      </c>
      <c r="H22" s="5">
        <f>G22*Input!L23/100</f>
        <v>1.47988217911235E-2</v>
      </c>
      <c r="I22" s="3">
        <v>0</v>
      </c>
      <c r="J22" s="7">
        <f>(((C22*$G$4*0.000000001*Input!G23*(234/233))-(I22*0.000000000000001))/Input!F23)*1000000000000</f>
        <v>750.90378085105385</v>
      </c>
      <c r="K22" s="3">
        <f>J22*Input!P23/100</f>
        <v>2.9846683732800789</v>
      </c>
      <c r="L22" s="8">
        <f t="shared" ref="L22" si="59">(J22/234)*602200000000*0.0000028263/(365.2425*24*60)</f>
        <v>10.384453463891477</v>
      </c>
      <c r="M22" s="9">
        <f>L22*Input!P23/100</f>
        <v>4.1275794073573221E-2</v>
      </c>
      <c r="N22" s="3">
        <v>0</v>
      </c>
      <c r="O22" s="7">
        <f>(((G22*$D$4*0.000000001*Input!G23*(238/236))-(N22*0.000000001))/Input!F23)*1000000</f>
        <v>13.71258705597818</v>
      </c>
      <c r="P22" s="3">
        <f>O22*Input!N23/100</f>
        <v>8.6725951139763572E-4</v>
      </c>
      <c r="Q22" s="10">
        <f>(O22/238.05)*602200000000000000*0.00000000015512/(365.2425*24*60)</f>
        <v>10.230949955772068</v>
      </c>
      <c r="R22" s="11">
        <f>Q22*Input!N23/100</f>
        <v>6.4706161015096685E-4</v>
      </c>
      <c r="S22" s="9">
        <f>Input!S23*0.0000028263/0.000000000155125</f>
        <v>0.99696069654166131</v>
      </c>
      <c r="T22" s="3">
        <f>S22*Input!T23/100</f>
        <v>1.0183883052853912E-3</v>
      </c>
      <c r="U22" s="9">
        <f>S22</f>
        <v>0.99696069654166131</v>
      </c>
      <c r="V22" s="3">
        <f>U22*Input!T23/100</f>
        <v>1.0183883052853912E-3</v>
      </c>
      <c r="W22" s="12">
        <v>0</v>
      </c>
      <c r="X22" s="7">
        <f>Y38</f>
        <v>0</v>
      </c>
      <c r="Y22" s="7">
        <f>X22*Input!X23/100</f>
        <v>0</v>
      </c>
      <c r="Z22" s="7">
        <f>(X22/232)*6.022E+23*0.000000001*0.000000000049475/(365.2425*24*60)</f>
        <v>0</v>
      </c>
      <c r="AA22" s="7">
        <f>Z22*Input!X23/100</f>
        <v>0</v>
      </c>
      <c r="AB22" s="8">
        <v>0</v>
      </c>
      <c r="AC22" s="8">
        <v>0.85</v>
      </c>
      <c r="AD22" s="7">
        <f>(((Input!G23*$L$4*0.000000001*Input!U23*(230/229))-((AB22*0.000000000000001)+(Input!G23*AC22*0.000000000000001)))/Input!F23)*1000000000000</f>
        <v>224.32759371387095</v>
      </c>
      <c r="AE22" s="7">
        <f>AD22*Input!V23/100</f>
        <v>0.76109205894390353</v>
      </c>
      <c r="AF22" s="7">
        <f t="shared" ref="AF22" si="60">(AD22/230)*602200000000*0.0000091577/(365.2425*24*60)</f>
        <v>10.226763820891808</v>
      </c>
      <c r="AG22" s="7">
        <f>AF22*Input!V23/100</f>
        <v>3.469706336128852E-2</v>
      </c>
      <c r="AH22" s="3" t="e">
        <f t="shared" ref="AH22" si="61">AF22/Z22</f>
        <v>#DIV/0!</v>
      </c>
      <c r="AI22" s="12" t="e">
        <f t="shared" ref="AI22" si="62">AH22*SQRT((AG22/AF22)^2+(AA22/Z22)^2)</f>
        <v>#DIV/0!</v>
      </c>
      <c r="AJ22" s="9">
        <f t="shared" ref="AJ22" si="63">(U22-1)*1000</f>
        <v>-3.0393034583386935</v>
      </c>
      <c r="AK22" s="12">
        <f t="shared" ref="AK22" si="64">V22*1000</f>
        <v>1.0183883052853913</v>
      </c>
      <c r="AL22" s="12">
        <f t="shared" ref="AL22" si="65">AF22/Q22</f>
        <v>0.99959083614929634</v>
      </c>
      <c r="AM22" s="12">
        <f t="shared" ref="AM22" si="66">AL22*SQRT((R22/Q22)^2+(AG22/AF22)^2)</f>
        <v>3.3919715706462366E-3</v>
      </c>
      <c r="AN22" s="3">
        <f>AF22/Q22</f>
        <v>0.99959083614929634</v>
      </c>
      <c r="AO22" s="7">
        <f t="shared" ref="AO22" si="67">AN22*SQRT((R22/Q22)^2+(AG22/AF22)^2)</f>
        <v>3.3919715706462366E-3</v>
      </c>
      <c r="AP22" s="3" t="str">
        <f t="shared" si="54"/>
        <v>Out of range</v>
      </c>
      <c r="AQ22" s="3" t="e">
        <f t="shared" si="55"/>
        <v>#VALUE!</v>
      </c>
      <c r="AR22" s="3" t="e">
        <f t="shared" ref="AR22" si="68">(AQ22/AP22)*100</f>
        <v>#VALUE!</v>
      </c>
      <c r="AS22" s="11">
        <f t="shared" ref="AS22" si="69">Z22/Q22</f>
        <v>0</v>
      </c>
      <c r="AT22" s="11" t="e">
        <f t="shared" ref="AT22" si="70">AS22*SQRT((Y22/X22)^2+(P22/O22)^2)</f>
        <v>#DIV/0!</v>
      </c>
      <c r="AU22" s="3">
        <v>0.75</v>
      </c>
      <c r="AV22" s="3">
        <f t="shared" ref="AV22" si="71">AU22/2</f>
        <v>0.375</v>
      </c>
      <c r="AW22" s="3" t="str">
        <f t="shared" si="56"/>
        <v>Out of range</v>
      </c>
      <c r="AX22" s="13" t="e">
        <f t="shared" ref="AX22" si="72">marincorr_age_error(AN22, AO22, U22, V22, AS22, AT22, AU22, AV22)</f>
        <v>#VALUE!</v>
      </c>
      <c r="AY22" s="13" t="e">
        <f t="shared" ref="AY22" si="73">SQRT(((AU22*EXP(-0.0000091577*AW22*1000))/(0.0000091577*(EXP(-0.0000091577*AW22*1000)+(AJ22/1000)*EXP(-(0.0000091577-0.0000028263)*AW22*1000)-AS22*AU22*EXP(-0.0000091577*AW22*1000))))^2*AT22^2+((AS22*EXP(-0.0000091577*AW22*1000))/(0.0000091577*(EXP(-0.0000091577*AW22*1000)+(AJ22/1000)*EXP(-(0.0000091577-0.0000028263)*AW22*1000)-AS22*AU22*EXP(-0.0000091577*AW22*1000))))^2*AV22^2+((0.0000091577/(0.0000091577-0.0000028263))*(EXP(-(0.0000091577-0.0000028263)*AW22*1000)-1)/(0.0000091577*(EXP(-0.0000091577*AW22*1000)+(AJ22/1000)*EXP(-(0.0000091577-0.0000028263)*AW22*1000)-AS22*AU22*EXP(-0.0000091577*AW22*1000))))^2*T22^2+(1/(0.0000091577*(EXP(-0.0000091577*AW22*1000)+(AJ22/1000)*EXP(-(0.0000091577-0.0000028263)*AW22*1000)-AS22*AU22*EXP(-0.0000091577*AW22*1000))))^2*AO22^2)/1000</f>
        <v>#VALUE!</v>
      </c>
      <c r="AZ22" s="3">
        <f>Input!B23</f>
        <v>0</v>
      </c>
      <c r="BA22" s="14">
        <f>Input!E23</f>
        <v>0</v>
      </c>
      <c r="BB22" s="3" t="e">
        <f t="shared" ref="BB22" si="74">((U22-1)*EXP(0.0000028263*AW22*1000))*1000</f>
        <v>#VALUE!</v>
      </c>
      <c r="BC22" s="9" t="e">
        <f t="shared" ref="BC22" si="75">SQRT((EXP(0.0000028263*AW22*1000)*V22)^2+((U22-1)*0.0000028263*EXP(0.0000028263*AW22*1000)*AX22*1000)^2)*1000</f>
        <v>#VALUE!</v>
      </c>
      <c r="BD22" s="3" t="e">
        <f t="shared" ref="BD22" si="76">AW22*1000-58</f>
        <v>#VALUE!</v>
      </c>
      <c r="BE22" s="15" t="e">
        <f t="shared" ref="BE22" si="77">AY22/2*1000</f>
        <v>#VALUE!</v>
      </c>
      <c r="BF22" s="16" t="e">
        <f t="shared" ref="BF22" si="78">AY22/AW22*100</f>
        <v>#VALUE!</v>
      </c>
      <c r="BH22">
        <f t="shared" si="26"/>
        <v>1.6928263913880317E-5</v>
      </c>
      <c r="BI22">
        <f t="shared" ref="BI22" si="79">BH22*SQRT(((AE22/AD22)^2)+((P22/O22)^2))</f>
        <v>5.7443693819240353E-8</v>
      </c>
      <c r="BJ22">
        <f t="shared" si="28"/>
        <v>5.5696254820414915E-5</v>
      </c>
      <c r="BK22">
        <f t="shared" si="29"/>
        <v>2.2140771848369192E-7</v>
      </c>
      <c r="BL22">
        <f t="shared" ref="BL22" si="80">BH22-0.000016916</f>
        <v>1.2263913880318522E-8</v>
      </c>
      <c r="BM22">
        <f t="shared" ref="BM22" si="81">BI22/BH22</f>
        <v>3.3933600108951184E-3</v>
      </c>
      <c r="BN22">
        <f t="shared" ref="BN22" si="82">BJ22-0.00005497</f>
        <v>7.2625482041491755E-7</v>
      </c>
      <c r="BO22">
        <f t="shared" si="33"/>
        <v>3.9752712134342129E-3</v>
      </c>
    </row>
    <row r="23" spans="1:67" ht="15" customHeight="1" x14ac:dyDescent="0.25"/>
    <row r="24" spans="1:67" ht="15" customHeight="1" x14ac:dyDescent="0.25"/>
    <row r="25" spans="1:67" ht="15" customHeight="1" x14ac:dyDescent="0.25"/>
    <row r="26" spans="1:67" ht="15" customHeight="1" x14ac:dyDescent="0.25"/>
    <row r="27" spans="1:67" ht="15" customHeight="1" x14ac:dyDescent="0.25"/>
    <row r="28" spans="1:67" ht="15" customHeight="1" x14ac:dyDescent="0.25"/>
    <row r="29" spans="1:67" ht="15" customHeight="1" x14ac:dyDescent="0.25"/>
    <row r="30" spans="1:67" ht="15" customHeight="1" x14ac:dyDescent="0.25"/>
    <row r="31" spans="1:67" ht="15" customHeight="1" x14ac:dyDescent="0.25"/>
    <row r="32" spans="1:6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9" ht="15" customHeight="1" x14ac:dyDescent="0.25"/>
    <row r="200" ht="15" customHeight="1" x14ac:dyDescent="0.25"/>
    <row r="201" ht="15" customHeight="1" x14ac:dyDescent="0.25"/>
    <row r="203" ht="15" customHeight="1" x14ac:dyDescent="0.25"/>
    <row r="204" ht="15" customHeight="1" x14ac:dyDescent="0.25"/>
    <row r="205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S47"/>
  <sheetViews>
    <sheetView workbookViewId="0">
      <pane ySplit="3" topLeftCell="A4" activePane="bottomLeft" state="frozenSplit"/>
      <selection pane="bottomLeft" activeCell="C9" sqref="C9"/>
    </sheetView>
  </sheetViews>
  <sheetFormatPr baseColWidth="10" defaultRowHeight="15" x14ac:dyDescent="0.25"/>
  <cols>
    <col min="1" max="1" width="23.7109375" bestFit="1" customWidth="1"/>
    <col min="2" max="2" width="42.28515625" bestFit="1" customWidth="1"/>
    <col min="3" max="3" width="11.85546875" bestFit="1" customWidth="1"/>
    <col min="7" max="7" width="12.7109375" bestFit="1" customWidth="1"/>
    <col min="9" max="9" width="13.85546875" bestFit="1" customWidth="1"/>
    <col min="13" max="13" width="14.42578125" bestFit="1" customWidth="1"/>
    <col min="15" max="15" width="13.5703125" bestFit="1" customWidth="1"/>
    <col min="17" max="17" width="14.140625" bestFit="1" customWidth="1"/>
  </cols>
  <sheetData>
    <row r="1" spans="1:19" ht="16.5" x14ac:dyDescent="0.25">
      <c r="A1" t="s">
        <v>71</v>
      </c>
      <c r="B1" t="s">
        <v>0</v>
      </c>
      <c r="C1" t="s">
        <v>22</v>
      </c>
      <c r="D1" t="s">
        <v>6</v>
      </c>
      <c r="E1" t="s">
        <v>24</v>
      </c>
      <c r="F1" t="s">
        <v>6</v>
      </c>
      <c r="G1" t="s">
        <v>28</v>
      </c>
      <c r="H1" t="s">
        <v>4</v>
      </c>
      <c r="I1" t="s">
        <v>10</v>
      </c>
      <c r="J1" t="s">
        <v>6</v>
      </c>
      <c r="K1" t="s">
        <v>58</v>
      </c>
      <c r="L1" t="s">
        <v>51</v>
      </c>
      <c r="M1" t="s">
        <v>72</v>
      </c>
      <c r="N1" t="s">
        <v>4</v>
      </c>
      <c r="O1" t="s">
        <v>83</v>
      </c>
      <c r="P1" t="s">
        <v>4</v>
      </c>
      <c r="Q1" t="s">
        <v>67</v>
      </c>
      <c r="R1" t="s">
        <v>51</v>
      </c>
      <c r="S1" t="s">
        <v>2</v>
      </c>
    </row>
    <row r="2" spans="1:19" ht="18.75" thickBot="1" x14ac:dyDescent="0.35">
      <c r="C2" t="s">
        <v>73</v>
      </c>
      <c r="D2" t="s">
        <v>33</v>
      </c>
      <c r="E2" t="s">
        <v>36</v>
      </c>
      <c r="F2" t="s">
        <v>37</v>
      </c>
      <c r="G2" t="s">
        <v>84</v>
      </c>
      <c r="H2" t="s">
        <v>85</v>
      </c>
      <c r="I2" t="s">
        <v>84</v>
      </c>
      <c r="J2" t="s">
        <v>37</v>
      </c>
      <c r="K2" t="s">
        <v>39</v>
      </c>
      <c r="L2" t="s">
        <v>50</v>
      </c>
      <c r="M2" t="s">
        <v>40</v>
      </c>
      <c r="N2" t="s">
        <v>40</v>
      </c>
      <c r="O2" t="s">
        <v>86</v>
      </c>
      <c r="P2" t="s">
        <v>40</v>
      </c>
      <c r="Q2" t="s">
        <v>39</v>
      </c>
      <c r="R2" t="s">
        <v>50</v>
      </c>
      <c r="S2" t="s">
        <v>12</v>
      </c>
    </row>
    <row r="9" spans="1:19" x14ac:dyDescent="0.25">
      <c r="A9">
        <f>Input!A10</f>
        <v>9715</v>
      </c>
      <c r="B9" t="str">
        <f>Input!B10</f>
        <v>WM-1 (20)</v>
      </c>
      <c r="C9">
        <f>Calc!O9*1000</f>
        <v>15040.932893329349</v>
      </c>
      <c r="D9">
        <f>Calc!P9*1000</f>
        <v>19.788494775717446</v>
      </c>
      <c r="E9">
        <f>Calc!X9</f>
        <v>5.5222719788782055E-3</v>
      </c>
      <c r="F9">
        <f>Calc!Y9</f>
        <v>1.6179884103577035E-4</v>
      </c>
      <c r="G9">
        <f>Calc!AN9</f>
        <v>0.97546573295251948</v>
      </c>
      <c r="H9">
        <f>Calc!AO9</f>
        <v>7.5392617570073069E-3</v>
      </c>
      <c r="I9">
        <f>Calc!AH9</f>
        <v>8128101.0832930747</v>
      </c>
      <c r="J9">
        <f>Calc!AI9</f>
        <v>246062.09111079789</v>
      </c>
      <c r="K9">
        <f>Calc!AJ9</f>
        <v>3.0462162858648778</v>
      </c>
      <c r="L9">
        <f>Calc!AK9</f>
        <v>1.4680818269822393</v>
      </c>
      <c r="M9">
        <f>Calc!AP9</f>
        <v>387.74020000000002</v>
      </c>
      <c r="N9">
        <f>Calc!AQ9</f>
        <v>34.368200000000002</v>
      </c>
      <c r="O9">
        <f>Calc!AW9</f>
        <v>387.74020000000002</v>
      </c>
      <c r="P9">
        <f>Calc!AX9</f>
        <v>30.7803923058</v>
      </c>
      <c r="Q9">
        <f>Calc!BB9</f>
        <v>9.1136235347936623</v>
      </c>
      <c r="R9">
        <f>Calc!BC9</f>
        <v>4.4631689706746123</v>
      </c>
      <c r="S9">
        <f>Input!E10</f>
        <v>0</v>
      </c>
    </row>
    <row r="10" spans="1:19" x14ac:dyDescent="0.25">
      <c r="A10">
        <f>Input!A11</f>
        <v>9186</v>
      </c>
      <c r="B10">
        <f>Input!B11</f>
        <v>0</v>
      </c>
      <c r="C10">
        <f>Calc!O10*1000</f>
        <v>13714.293848705162</v>
      </c>
      <c r="D10">
        <f>Calc!P10*1000</f>
        <v>1.1552460296411753</v>
      </c>
      <c r="E10">
        <f>Calc!X10</f>
        <v>0.89123403100690024</v>
      </c>
      <c r="F10">
        <f>Calc!Y10</f>
        <v>3.968352272884044E-3</v>
      </c>
      <c r="G10">
        <f>Calc!AN10</f>
        <v>1.0016659822648373</v>
      </c>
      <c r="H10">
        <f>Calc!AO10</f>
        <v>2.3169408650311626E-3</v>
      </c>
      <c r="I10">
        <f>Calc!AH10</f>
        <v>47098.427403883426</v>
      </c>
      <c r="J10">
        <f>Calc!AI10</f>
        <v>236.28844838390143</v>
      </c>
      <c r="K10">
        <f>Calc!AJ10</f>
        <v>-3.0426567115811043</v>
      </c>
      <c r="L10">
        <f>Calc!AK10</f>
        <v>1.1140555675288182</v>
      </c>
      <c r="M10" t="str">
        <f>Calc!AP10</f>
        <v>Out of range</v>
      </c>
      <c r="N10" t="e">
        <f>Calc!AQ10</f>
        <v>#VALUE!</v>
      </c>
      <c r="O10" t="str">
        <f>Calc!AW10</f>
        <v>Out of range</v>
      </c>
      <c r="P10">
        <f>Calc!AX10</f>
        <v>0</v>
      </c>
      <c r="Q10" t="e">
        <f>Calc!BB10</f>
        <v>#VALUE!</v>
      </c>
      <c r="R10" t="e">
        <f>Calc!BC10</f>
        <v>#VALUE!</v>
      </c>
      <c r="S10">
        <f>Input!E11</f>
        <v>0</v>
      </c>
    </row>
    <row r="11" spans="1:19" x14ac:dyDescent="0.25">
      <c r="A11">
        <f>Input!A12</f>
        <v>9716</v>
      </c>
      <c r="B11" t="str">
        <f>Input!B12</f>
        <v>WM-1 (66)</v>
      </c>
      <c r="C11">
        <f>Calc!O11*1000</f>
        <v>3441.233724074481</v>
      </c>
      <c r="D11">
        <f>Calc!P11*1000</f>
        <v>0.8901305371573166</v>
      </c>
      <c r="E11">
        <f>Calc!X11</f>
        <v>2.4038479976897928</v>
      </c>
      <c r="F11">
        <f>Calc!Y11</f>
        <v>1.0492885843223044E-2</v>
      </c>
      <c r="G11">
        <f>Calc!AN11</f>
        <v>0.99119736768770961</v>
      </c>
      <c r="H11">
        <f>Calc!AO11</f>
        <v>4.3734332400431359E-3</v>
      </c>
      <c r="I11">
        <f>Calc!AH11</f>
        <v>4341.3125886347825</v>
      </c>
      <c r="J11">
        <f>Calc!AI11</f>
        <v>26.921316677043066</v>
      </c>
      <c r="K11">
        <f>Calc!AJ11</f>
        <v>3.9432039704394573</v>
      </c>
      <c r="L11">
        <f>Calc!AK11</f>
        <v>1.6576541182636511</v>
      </c>
      <c r="M11">
        <f>Calc!AP11</f>
        <v>463.94099999999997</v>
      </c>
      <c r="N11" t="e">
        <f>Calc!AQ11</f>
        <v>#VALUE!</v>
      </c>
      <c r="O11">
        <f>Calc!AW11</f>
        <v>463.92250000000001</v>
      </c>
      <c r="P11">
        <f>Calc!AX11</f>
        <v>38.999910305999997</v>
      </c>
      <c r="Q11">
        <f>Calc!BB11</f>
        <v>14.631514722812279</v>
      </c>
      <c r="R11">
        <f>Calc!BC11</f>
        <v>6.3587548384617216</v>
      </c>
      <c r="S11">
        <f>Input!E12</f>
        <v>0</v>
      </c>
    </row>
    <row r="12" spans="1:19" x14ac:dyDescent="0.25">
      <c r="A12" t="e">
        <f>Input!#REF!</f>
        <v>#REF!</v>
      </c>
      <c r="B12" t="e">
        <f>Input!#REF!</f>
        <v>#REF!</v>
      </c>
      <c r="C12">
        <f>Calc!O12*1000</f>
        <v>13713.787650352884</v>
      </c>
      <c r="D12">
        <f>Calc!P12*1000</f>
        <v>1.2890967835284211</v>
      </c>
      <c r="E12">
        <f>Calc!X12</f>
        <v>0.89024052270727971</v>
      </c>
      <c r="F12">
        <f>Calc!Y12</f>
        <v>4.0583529680178016E-3</v>
      </c>
      <c r="G12">
        <f>Calc!AN12</f>
        <v>1.0008774916738097</v>
      </c>
      <c r="H12">
        <f>Calc!AO12</f>
        <v>3.2720427855295621E-3</v>
      </c>
      <c r="I12">
        <f>Calc!AH12</f>
        <v>47112.133980013605</v>
      </c>
      <c r="J12">
        <f>Calc!AI12</f>
        <v>264.25055800603496</v>
      </c>
      <c r="K12">
        <f>Calc!AJ12</f>
        <v>-0.82962649847362346</v>
      </c>
      <c r="L12">
        <f>Calc!AK12</f>
        <v>0.98393940157740656</v>
      </c>
      <c r="M12" t="str">
        <f>Calc!AP12</f>
        <v>Out of range</v>
      </c>
      <c r="N12" t="e">
        <f>Calc!AQ12</f>
        <v>#VALUE!</v>
      </c>
      <c r="O12" t="str">
        <f>Calc!AW12</f>
        <v>Out of range</v>
      </c>
      <c r="P12">
        <f>Calc!AX12</f>
        <v>501.8692047028</v>
      </c>
      <c r="Q12" t="e">
        <f>Calc!BB12</f>
        <v>#VALUE!</v>
      </c>
      <c r="R12" t="e">
        <f>Calc!BC12</f>
        <v>#VALUE!</v>
      </c>
      <c r="S12" t="e">
        <f>Input!#REF!</f>
        <v>#REF!</v>
      </c>
    </row>
    <row r="13" spans="1:19" x14ac:dyDescent="0.25">
      <c r="A13" t="e">
        <f>Input!#REF!</f>
        <v>#REF!</v>
      </c>
      <c r="B13" t="e">
        <f>Input!#REF!</f>
        <v>#REF!</v>
      </c>
      <c r="C13">
        <f>Calc!O13*1000</f>
        <v>19484.518174028748</v>
      </c>
      <c r="D13">
        <f>Calc!P13*1000</f>
        <v>6.4712580283866368</v>
      </c>
      <c r="E13">
        <f>Calc!X13</f>
        <v>-0.16841681650032292</v>
      </c>
      <c r="F13">
        <f>Calc!Y13</f>
        <v>-2.5139146781342219E-3</v>
      </c>
      <c r="G13">
        <f>Calc!AN13</f>
        <v>0.97582816375652703</v>
      </c>
      <c r="H13">
        <f>Calc!AO13</f>
        <v>3.710544226603065E-3</v>
      </c>
      <c r="I13">
        <f>Calc!AH13</f>
        <v>-345088.84580208245</v>
      </c>
      <c r="J13">
        <f>Calc!AI13</f>
        <v>-5314.3239909042422</v>
      </c>
      <c r="K13">
        <f>Calc!AJ13</f>
        <v>0.29303321213447475</v>
      </c>
      <c r="L13">
        <f>Calc!AK13</f>
        <v>0.74153749510641354</v>
      </c>
      <c r="M13">
        <f>Calc!AP13</f>
        <v>404.17989999999998</v>
      </c>
      <c r="N13">
        <f>Calc!AQ13</f>
        <v>17.431999999999999</v>
      </c>
      <c r="O13">
        <f>Calc!AW13</f>
        <v>404.18009999999998</v>
      </c>
      <c r="P13">
        <f>Calc!AX13</f>
        <v>17.343449669799998</v>
      </c>
      <c r="Q13">
        <f>Calc!BB13</f>
        <v>0.91838819464332222</v>
      </c>
      <c r="R13">
        <f>Calc!BC13</f>
        <v>2.3244704149024926</v>
      </c>
      <c r="S13" t="e">
        <f>Input!#REF!</f>
        <v>#REF!</v>
      </c>
    </row>
    <row r="14" spans="1:19" x14ac:dyDescent="0.25">
      <c r="A14" t="e">
        <f>Input!#REF!</f>
        <v>#REF!</v>
      </c>
      <c r="B14" t="e">
        <f>Input!#REF!</f>
        <v>#REF!</v>
      </c>
      <c r="C14">
        <f>Calc!O14*1000</f>
        <v>13712.904477494591</v>
      </c>
      <c r="D14">
        <f>Calc!P14*1000</f>
        <v>0.93643146528858923</v>
      </c>
      <c r="E14">
        <f>Calc!X14</f>
        <v>0.88726058649854189</v>
      </c>
      <c r="F14">
        <f>Calc!Y14</f>
        <v>4.1154738641979742E-3</v>
      </c>
      <c r="G14">
        <f>Calc!AN14</f>
        <v>0.99982061037283998</v>
      </c>
      <c r="H14">
        <f>Calc!AO14</f>
        <v>3.1263476180188603E-3</v>
      </c>
      <c r="I14">
        <f>Calc!AH14</f>
        <v>47217.407502829919</v>
      </c>
      <c r="J14">
        <f>Calc!AI14</f>
        <v>264.11247534883961</v>
      </c>
      <c r="K14">
        <f>Calc!AJ14</f>
        <v>-1.9547177866948706</v>
      </c>
      <c r="L14">
        <f>Calc!AK14</f>
        <v>0.83575153632138244</v>
      </c>
      <c r="M14" t="str">
        <f>Calc!AP14</f>
        <v>Out of range</v>
      </c>
      <c r="N14" t="e">
        <f>Calc!AQ14</f>
        <v>#VALUE!</v>
      </c>
      <c r="O14" t="str">
        <f>Calc!AW14</f>
        <v>Out of range</v>
      </c>
      <c r="P14">
        <f>Calc!AX14</f>
        <v>338.51356045099999</v>
      </c>
      <c r="Q14" t="e">
        <f>Calc!BB14</f>
        <v>#VALUE!</v>
      </c>
      <c r="R14" t="e">
        <f>Calc!BC14</f>
        <v>#VALUE!</v>
      </c>
      <c r="S14" t="e">
        <f>Input!#REF!</f>
        <v>#REF!</v>
      </c>
    </row>
    <row r="15" spans="1:19" x14ac:dyDescent="0.25">
      <c r="A15" t="e">
        <f>Input!#REF!</f>
        <v>#REF!</v>
      </c>
      <c r="B15" t="e">
        <f>Input!#REF!</f>
        <v>#REF!</v>
      </c>
      <c r="C15" t="e">
        <f>Calc!#REF!*1000</f>
        <v>#REF!</v>
      </c>
      <c r="D15" t="e">
        <f>Calc!#REF!*1000</f>
        <v>#REF!</v>
      </c>
      <c r="E15" t="e">
        <f>Calc!#REF!</f>
        <v>#REF!</v>
      </c>
      <c r="F15" t="e">
        <f>Calc!#REF!</f>
        <v>#REF!</v>
      </c>
      <c r="G15" t="e">
        <f>Calc!#REF!</f>
        <v>#REF!</v>
      </c>
      <c r="H15" t="e">
        <f>Calc!#REF!</f>
        <v>#REF!</v>
      </c>
      <c r="I15" t="e">
        <f>Calc!#REF!</f>
        <v>#REF!</v>
      </c>
      <c r="J15" t="e">
        <f>Calc!#REF!</f>
        <v>#REF!</v>
      </c>
      <c r="K15" t="e">
        <f>Calc!#REF!</f>
        <v>#REF!</v>
      </c>
      <c r="L15" t="e">
        <f>Calc!#REF!</f>
        <v>#REF!</v>
      </c>
      <c r="M15" t="e">
        <f>Calc!#REF!</f>
        <v>#REF!</v>
      </c>
      <c r="N15" t="e">
        <f>Calc!#REF!</f>
        <v>#REF!</v>
      </c>
      <c r="O15" t="e">
        <f>Calc!#REF!</f>
        <v>#REF!</v>
      </c>
      <c r="P15" t="e">
        <f>Calc!#REF!</f>
        <v>#REF!</v>
      </c>
      <c r="Q15" t="e">
        <f>Calc!#REF!</f>
        <v>#REF!</v>
      </c>
      <c r="R15" t="e">
        <f>Calc!#REF!</f>
        <v>#REF!</v>
      </c>
      <c r="S15" t="e">
        <f>Input!#REF!</f>
        <v>#REF!</v>
      </c>
    </row>
    <row r="16" spans="1:19" x14ac:dyDescent="0.25">
      <c r="A16" t="e">
        <f>Input!#REF!</f>
        <v>#REF!</v>
      </c>
      <c r="B16" t="e">
        <f>Input!#REF!</f>
        <v>#REF!</v>
      </c>
      <c r="C16" t="e">
        <f>Calc!#REF!*1000</f>
        <v>#REF!</v>
      </c>
      <c r="D16" t="e">
        <f>Calc!#REF!*1000</f>
        <v>#REF!</v>
      </c>
      <c r="E16" t="e">
        <f>Calc!#REF!</f>
        <v>#REF!</v>
      </c>
      <c r="F16" t="e">
        <f>Calc!#REF!</f>
        <v>#REF!</v>
      </c>
      <c r="G16" t="e">
        <f>Calc!#REF!</f>
        <v>#REF!</v>
      </c>
      <c r="H16" t="e">
        <f>Calc!#REF!</f>
        <v>#REF!</v>
      </c>
      <c r="I16" t="e">
        <f>Calc!#REF!</f>
        <v>#REF!</v>
      </c>
      <c r="J16" t="e">
        <f>Calc!#REF!</f>
        <v>#REF!</v>
      </c>
      <c r="K16" t="e">
        <f>Calc!#REF!</f>
        <v>#REF!</v>
      </c>
      <c r="L16" t="e">
        <f>Calc!#REF!</f>
        <v>#REF!</v>
      </c>
      <c r="M16" t="e">
        <f>Calc!#REF!</f>
        <v>#REF!</v>
      </c>
      <c r="N16" t="e">
        <f>Calc!#REF!</f>
        <v>#REF!</v>
      </c>
      <c r="O16" t="e">
        <f>Calc!#REF!</f>
        <v>#REF!</v>
      </c>
      <c r="P16" t="e">
        <f>Calc!#REF!</f>
        <v>#REF!</v>
      </c>
      <c r="Q16" t="e">
        <f>Calc!#REF!</f>
        <v>#REF!</v>
      </c>
      <c r="R16" t="e">
        <f>Calc!#REF!</f>
        <v>#REF!</v>
      </c>
      <c r="S16" t="e">
        <f>Input!#REF!</f>
        <v>#REF!</v>
      </c>
    </row>
    <row r="17" spans="1:19" x14ac:dyDescent="0.25">
      <c r="A17" t="e">
        <f>Input!#REF!</f>
        <v>#REF!</v>
      </c>
      <c r="B17" t="e">
        <f>Input!#REF!</f>
        <v>#REF!</v>
      </c>
      <c r="C17" t="e">
        <f>Calc!#REF!*1000</f>
        <v>#REF!</v>
      </c>
      <c r="D17" t="e">
        <f>Calc!#REF!*1000</f>
        <v>#REF!</v>
      </c>
      <c r="E17" t="e">
        <f>Calc!#REF!</f>
        <v>#REF!</v>
      </c>
      <c r="F17" t="e">
        <f>Calc!#REF!</f>
        <v>#REF!</v>
      </c>
      <c r="G17" t="e">
        <f>Calc!#REF!</f>
        <v>#REF!</v>
      </c>
      <c r="H17" t="e">
        <f>Calc!#REF!</f>
        <v>#REF!</v>
      </c>
      <c r="I17" t="e">
        <f>Calc!#REF!</f>
        <v>#REF!</v>
      </c>
      <c r="J17" t="e">
        <f>Calc!#REF!</f>
        <v>#REF!</v>
      </c>
      <c r="K17" t="e">
        <f>Calc!#REF!</f>
        <v>#REF!</v>
      </c>
      <c r="L17" t="e">
        <f>Calc!#REF!</f>
        <v>#REF!</v>
      </c>
      <c r="M17" t="e">
        <f>Calc!#REF!</f>
        <v>#REF!</v>
      </c>
      <c r="N17" t="e">
        <f>Calc!#REF!</f>
        <v>#REF!</v>
      </c>
      <c r="O17" t="e">
        <f>Calc!#REF!</f>
        <v>#REF!</v>
      </c>
      <c r="P17" t="e">
        <f>Calc!#REF!</f>
        <v>#REF!</v>
      </c>
      <c r="Q17" t="e">
        <f>Calc!#REF!</f>
        <v>#REF!</v>
      </c>
      <c r="R17" t="e">
        <f>Calc!#REF!</f>
        <v>#REF!</v>
      </c>
      <c r="S17" t="e">
        <f>Input!#REF!</f>
        <v>#REF!</v>
      </c>
    </row>
    <row r="18" spans="1:19" x14ac:dyDescent="0.25">
      <c r="A18" t="e">
        <f>Input!#REF!</f>
        <v>#REF!</v>
      </c>
      <c r="B18" t="e">
        <f>Input!#REF!</f>
        <v>#REF!</v>
      </c>
      <c r="C18" t="e">
        <f>Calc!#REF!*1000</f>
        <v>#REF!</v>
      </c>
      <c r="D18" t="e">
        <f>Calc!#REF!*1000</f>
        <v>#REF!</v>
      </c>
      <c r="E18" t="e">
        <f>Calc!#REF!</f>
        <v>#REF!</v>
      </c>
      <c r="F18" t="e">
        <f>Calc!#REF!</f>
        <v>#REF!</v>
      </c>
      <c r="G18" t="e">
        <f>Calc!#REF!</f>
        <v>#REF!</v>
      </c>
      <c r="H18" t="e">
        <f>Calc!#REF!</f>
        <v>#REF!</v>
      </c>
      <c r="I18" t="e">
        <f>Calc!#REF!</f>
        <v>#REF!</v>
      </c>
      <c r="J18" t="e">
        <f>Calc!#REF!</f>
        <v>#REF!</v>
      </c>
      <c r="K18" t="e">
        <f>Calc!#REF!</f>
        <v>#REF!</v>
      </c>
      <c r="L18" t="e">
        <f>Calc!#REF!</f>
        <v>#REF!</v>
      </c>
      <c r="M18" t="e">
        <f>Calc!#REF!</f>
        <v>#REF!</v>
      </c>
      <c r="N18" t="e">
        <f>Calc!#REF!</f>
        <v>#REF!</v>
      </c>
      <c r="O18" t="e">
        <f>Calc!#REF!</f>
        <v>#REF!</v>
      </c>
      <c r="P18" t="e">
        <f>Calc!#REF!</f>
        <v>#REF!</v>
      </c>
      <c r="Q18" t="e">
        <f>Calc!#REF!</f>
        <v>#REF!</v>
      </c>
      <c r="R18" t="e">
        <f>Calc!#REF!</f>
        <v>#REF!</v>
      </c>
      <c r="S18" t="e">
        <f>Input!#REF!</f>
        <v>#REF!</v>
      </c>
    </row>
    <row r="19" spans="1:19" x14ac:dyDescent="0.25">
      <c r="A19" t="e">
        <f>Input!#REF!</f>
        <v>#REF!</v>
      </c>
      <c r="B19" t="e">
        <f>Input!#REF!</f>
        <v>#REF!</v>
      </c>
      <c r="C19" t="e">
        <f>Calc!#REF!*1000</f>
        <v>#REF!</v>
      </c>
      <c r="D19" t="e">
        <f>Calc!#REF!*1000</f>
        <v>#REF!</v>
      </c>
      <c r="E19" t="e">
        <f>Calc!#REF!</f>
        <v>#REF!</v>
      </c>
      <c r="F19" t="e">
        <f>Calc!#REF!</f>
        <v>#REF!</v>
      </c>
      <c r="G19" t="e">
        <f>Calc!#REF!</f>
        <v>#REF!</v>
      </c>
      <c r="H19" t="e">
        <f>Calc!#REF!</f>
        <v>#REF!</v>
      </c>
      <c r="I19" t="e">
        <f>Calc!#REF!</f>
        <v>#REF!</v>
      </c>
      <c r="J19" t="e">
        <f>Calc!#REF!</f>
        <v>#REF!</v>
      </c>
      <c r="K19" t="e">
        <f>Calc!#REF!</f>
        <v>#REF!</v>
      </c>
      <c r="L19" t="e">
        <f>Calc!#REF!</f>
        <v>#REF!</v>
      </c>
      <c r="M19" t="e">
        <f>Calc!#REF!</f>
        <v>#REF!</v>
      </c>
      <c r="N19" t="e">
        <f>Calc!#REF!</f>
        <v>#REF!</v>
      </c>
      <c r="O19" t="e">
        <f>Calc!#REF!</f>
        <v>#REF!</v>
      </c>
      <c r="P19" t="e">
        <f>Calc!#REF!</f>
        <v>#REF!</v>
      </c>
      <c r="Q19" t="e">
        <f>Calc!#REF!</f>
        <v>#REF!</v>
      </c>
      <c r="R19" t="e">
        <f>Calc!#REF!</f>
        <v>#REF!</v>
      </c>
      <c r="S19" t="e">
        <f>Input!#REF!</f>
        <v>#REF!</v>
      </c>
    </row>
    <row r="22" spans="1:19" x14ac:dyDescent="0.25">
      <c r="A22" t="e">
        <f>Input!#REF!</f>
        <v>#REF!</v>
      </c>
      <c r="B22" t="e">
        <f>Input!#REF!</f>
        <v>#REF!</v>
      </c>
      <c r="C22" t="e">
        <f>Calc!#REF!*1000</f>
        <v>#REF!</v>
      </c>
      <c r="D22" t="e">
        <f>Calc!#REF!*1000</f>
        <v>#REF!</v>
      </c>
      <c r="E22" t="e">
        <f>Calc!#REF!</f>
        <v>#REF!</v>
      </c>
      <c r="F22" t="e">
        <f>Calc!#REF!</f>
        <v>#REF!</v>
      </c>
      <c r="G22" t="e">
        <f>Calc!#REF!</f>
        <v>#REF!</v>
      </c>
      <c r="H22" t="e">
        <f>Calc!#REF!</f>
        <v>#REF!</v>
      </c>
      <c r="I22" t="e">
        <f>Calc!#REF!</f>
        <v>#REF!</v>
      </c>
      <c r="J22" t="e">
        <f>Calc!#REF!</f>
        <v>#REF!</v>
      </c>
      <c r="K22" t="e">
        <f>Calc!#REF!</f>
        <v>#REF!</v>
      </c>
      <c r="L22" t="e">
        <f>Calc!#REF!</f>
        <v>#REF!</v>
      </c>
      <c r="M22" t="e">
        <f>Calc!#REF!</f>
        <v>#REF!</v>
      </c>
      <c r="N22" t="e">
        <f>Calc!#REF!</f>
        <v>#REF!</v>
      </c>
      <c r="O22" t="e">
        <f>Calc!#REF!</f>
        <v>#REF!</v>
      </c>
      <c r="P22" t="e">
        <f>Calc!#REF!</f>
        <v>#REF!</v>
      </c>
      <c r="Q22" t="e">
        <f>Calc!#REF!</f>
        <v>#REF!</v>
      </c>
      <c r="R22" t="e">
        <f>Calc!#REF!</f>
        <v>#REF!</v>
      </c>
      <c r="S22" t="e">
        <f>Input!#REF!</f>
        <v>#REF!</v>
      </c>
    </row>
    <row r="23" spans="1:19" x14ac:dyDescent="0.25">
      <c r="A23" t="e">
        <f>Input!#REF!</f>
        <v>#REF!</v>
      </c>
      <c r="B23" t="e">
        <f>Input!#REF!</f>
        <v>#REF!</v>
      </c>
      <c r="C23" t="e">
        <f>Calc!#REF!*1000</f>
        <v>#REF!</v>
      </c>
      <c r="D23" t="e">
        <f>Calc!#REF!*1000</f>
        <v>#REF!</v>
      </c>
      <c r="E23" t="e">
        <f>Calc!#REF!</f>
        <v>#REF!</v>
      </c>
      <c r="F23" t="e">
        <f>Calc!#REF!</f>
        <v>#REF!</v>
      </c>
      <c r="G23" t="e">
        <f>Calc!#REF!</f>
        <v>#REF!</v>
      </c>
      <c r="H23" t="e">
        <f>Calc!#REF!</f>
        <v>#REF!</v>
      </c>
      <c r="I23" t="e">
        <f>Calc!#REF!</f>
        <v>#REF!</v>
      </c>
      <c r="J23" t="e">
        <f>Calc!#REF!</f>
        <v>#REF!</v>
      </c>
      <c r="K23" t="e">
        <f>Calc!#REF!</f>
        <v>#REF!</v>
      </c>
      <c r="L23" t="e">
        <f>Calc!#REF!</f>
        <v>#REF!</v>
      </c>
      <c r="M23" t="e">
        <f>Calc!#REF!</f>
        <v>#REF!</v>
      </c>
      <c r="N23" t="e">
        <f>Calc!#REF!</f>
        <v>#REF!</v>
      </c>
      <c r="O23" t="e">
        <f>Calc!#REF!</f>
        <v>#REF!</v>
      </c>
      <c r="P23" t="e">
        <f>Calc!#REF!</f>
        <v>#REF!</v>
      </c>
      <c r="Q23" t="e">
        <f>Calc!#REF!</f>
        <v>#REF!</v>
      </c>
      <c r="R23" t="e">
        <f>Calc!#REF!</f>
        <v>#REF!</v>
      </c>
      <c r="S23" t="e">
        <f>Input!#REF!</f>
        <v>#REF!</v>
      </c>
    </row>
    <row r="24" spans="1:19" x14ac:dyDescent="0.25">
      <c r="A24" t="e">
        <f>Input!#REF!</f>
        <v>#REF!</v>
      </c>
      <c r="B24" t="e">
        <f>Input!#REF!</f>
        <v>#REF!</v>
      </c>
      <c r="C24" t="e">
        <f>Calc!#REF!*1000</f>
        <v>#REF!</v>
      </c>
      <c r="D24" t="e">
        <f>Calc!#REF!*1000</f>
        <v>#REF!</v>
      </c>
      <c r="E24" t="e">
        <f>Calc!#REF!</f>
        <v>#REF!</v>
      </c>
      <c r="F24" t="e">
        <f>Calc!#REF!</f>
        <v>#REF!</v>
      </c>
      <c r="G24" t="e">
        <f>Calc!#REF!</f>
        <v>#REF!</v>
      </c>
      <c r="H24" t="e">
        <f>Calc!#REF!</f>
        <v>#REF!</v>
      </c>
      <c r="I24" t="e">
        <f>Calc!#REF!</f>
        <v>#REF!</v>
      </c>
      <c r="J24" t="e">
        <f>Calc!#REF!</f>
        <v>#REF!</v>
      </c>
      <c r="K24" t="e">
        <f>Calc!#REF!</f>
        <v>#REF!</v>
      </c>
      <c r="L24" t="e">
        <f>Calc!#REF!</f>
        <v>#REF!</v>
      </c>
      <c r="M24" t="e">
        <f>Calc!#REF!</f>
        <v>#REF!</v>
      </c>
      <c r="N24" t="e">
        <f>Calc!#REF!</f>
        <v>#REF!</v>
      </c>
      <c r="O24" t="e">
        <f>Calc!#REF!</f>
        <v>#REF!</v>
      </c>
      <c r="P24" t="e">
        <f>Calc!#REF!</f>
        <v>#REF!</v>
      </c>
      <c r="Q24" t="e">
        <f>Calc!#REF!</f>
        <v>#REF!</v>
      </c>
      <c r="R24" t="e">
        <f>Calc!#REF!</f>
        <v>#REF!</v>
      </c>
      <c r="S24" t="e">
        <f>Input!#REF!</f>
        <v>#REF!</v>
      </c>
    </row>
    <row r="25" spans="1:19" x14ac:dyDescent="0.25">
      <c r="A25" t="e">
        <f>Input!#REF!</f>
        <v>#REF!</v>
      </c>
      <c r="B25" t="e">
        <f>Input!#REF!</f>
        <v>#REF!</v>
      </c>
      <c r="C25" t="e">
        <f>Calc!#REF!*1000</f>
        <v>#REF!</v>
      </c>
      <c r="D25" t="e">
        <f>Calc!#REF!*1000</f>
        <v>#REF!</v>
      </c>
      <c r="E25" t="e">
        <f>Calc!#REF!</f>
        <v>#REF!</v>
      </c>
      <c r="F25" t="e">
        <f>Calc!#REF!</f>
        <v>#REF!</v>
      </c>
      <c r="G25" t="e">
        <f>Calc!#REF!</f>
        <v>#REF!</v>
      </c>
      <c r="H25" t="e">
        <f>Calc!#REF!</f>
        <v>#REF!</v>
      </c>
      <c r="I25" t="e">
        <f>Calc!#REF!</f>
        <v>#REF!</v>
      </c>
      <c r="J25" t="e">
        <f>Calc!#REF!</f>
        <v>#REF!</v>
      </c>
      <c r="K25" t="e">
        <f>Calc!#REF!</f>
        <v>#REF!</v>
      </c>
      <c r="L25" t="e">
        <f>Calc!#REF!</f>
        <v>#REF!</v>
      </c>
      <c r="M25" t="e">
        <f>Calc!#REF!</f>
        <v>#REF!</v>
      </c>
      <c r="N25" t="e">
        <f>Calc!#REF!</f>
        <v>#REF!</v>
      </c>
      <c r="O25" t="e">
        <f>Calc!#REF!</f>
        <v>#REF!</v>
      </c>
      <c r="P25" t="e">
        <f>Calc!#REF!</f>
        <v>#REF!</v>
      </c>
      <c r="Q25" t="e">
        <f>Calc!#REF!</f>
        <v>#REF!</v>
      </c>
      <c r="R25" t="e">
        <f>Calc!#REF!</f>
        <v>#REF!</v>
      </c>
      <c r="S25" t="e">
        <f>Input!#REF!</f>
        <v>#REF!</v>
      </c>
    </row>
    <row r="26" spans="1:19" x14ac:dyDescent="0.25">
      <c r="A26" t="e">
        <f>Input!#REF!</f>
        <v>#REF!</v>
      </c>
      <c r="B26" t="e">
        <f>Input!#REF!</f>
        <v>#REF!</v>
      </c>
      <c r="C26" t="e">
        <f>Calc!#REF!*1000</f>
        <v>#REF!</v>
      </c>
      <c r="D26" t="e">
        <f>Calc!#REF!*1000</f>
        <v>#REF!</v>
      </c>
      <c r="E26" t="e">
        <f>Calc!#REF!</f>
        <v>#REF!</v>
      </c>
      <c r="F26" t="e">
        <f>Calc!#REF!</f>
        <v>#REF!</v>
      </c>
      <c r="G26" t="e">
        <f>Calc!#REF!</f>
        <v>#REF!</v>
      </c>
      <c r="H26" t="e">
        <f>Calc!#REF!</f>
        <v>#REF!</v>
      </c>
      <c r="I26" t="e">
        <f>Calc!#REF!</f>
        <v>#REF!</v>
      </c>
      <c r="J26" t="e">
        <f>Calc!#REF!</f>
        <v>#REF!</v>
      </c>
      <c r="K26" t="e">
        <f>Calc!#REF!</f>
        <v>#REF!</v>
      </c>
      <c r="L26" t="e">
        <f>Calc!#REF!</f>
        <v>#REF!</v>
      </c>
      <c r="M26" t="e">
        <f>Calc!#REF!</f>
        <v>#REF!</v>
      </c>
      <c r="N26" t="e">
        <f>Calc!#REF!</f>
        <v>#REF!</v>
      </c>
      <c r="O26" t="e">
        <f>Calc!#REF!</f>
        <v>#REF!</v>
      </c>
      <c r="P26" t="e">
        <f>Calc!#REF!</f>
        <v>#REF!</v>
      </c>
      <c r="Q26" t="e">
        <f>Calc!#REF!</f>
        <v>#REF!</v>
      </c>
      <c r="R26" t="e">
        <f>Calc!#REF!</f>
        <v>#REF!</v>
      </c>
      <c r="S26" t="e">
        <f>Input!#REF!</f>
        <v>#REF!</v>
      </c>
    </row>
    <row r="27" spans="1:19" x14ac:dyDescent="0.25">
      <c r="A27" t="e">
        <f>Input!#REF!</f>
        <v>#REF!</v>
      </c>
      <c r="B27" t="e">
        <f>Input!#REF!</f>
        <v>#REF!</v>
      </c>
      <c r="C27" t="e">
        <f>Calc!#REF!*1000</f>
        <v>#REF!</v>
      </c>
      <c r="D27" t="e">
        <f>Calc!#REF!*1000</f>
        <v>#REF!</v>
      </c>
      <c r="E27" t="e">
        <f>Calc!#REF!</f>
        <v>#REF!</v>
      </c>
      <c r="F27" t="e">
        <f>Calc!#REF!</f>
        <v>#REF!</v>
      </c>
      <c r="G27" t="e">
        <f>Calc!#REF!</f>
        <v>#REF!</v>
      </c>
      <c r="H27" t="e">
        <f>Calc!#REF!</f>
        <v>#REF!</v>
      </c>
      <c r="I27" t="e">
        <f>Calc!#REF!</f>
        <v>#REF!</v>
      </c>
      <c r="J27" t="e">
        <f>Calc!#REF!</f>
        <v>#REF!</v>
      </c>
      <c r="K27" t="e">
        <f>Calc!#REF!</f>
        <v>#REF!</v>
      </c>
      <c r="L27" t="e">
        <f>Calc!#REF!</f>
        <v>#REF!</v>
      </c>
      <c r="M27" t="e">
        <f>Calc!#REF!</f>
        <v>#REF!</v>
      </c>
      <c r="N27" t="e">
        <f>Calc!#REF!</f>
        <v>#REF!</v>
      </c>
      <c r="O27" t="e">
        <f>Calc!#REF!</f>
        <v>#REF!</v>
      </c>
      <c r="P27" t="e">
        <f>Calc!#REF!</f>
        <v>#REF!</v>
      </c>
      <c r="Q27" t="e">
        <f>Calc!#REF!</f>
        <v>#REF!</v>
      </c>
      <c r="R27" t="e">
        <f>Calc!#REF!</f>
        <v>#REF!</v>
      </c>
      <c r="S27" t="e">
        <f>Input!#REF!</f>
        <v>#REF!</v>
      </c>
    </row>
    <row r="28" spans="1:19" x14ac:dyDescent="0.25">
      <c r="A28" t="e">
        <f>Input!#REF!</f>
        <v>#REF!</v>
      </c>
      <c r="B28" t="e">
        <f>Input!#REF!</f>
        <v>#REF!</v>
      </c>
      <c r="C28" t="e">
        <f>Calc!#REF!*1000</f>
        <v>#REF!</v>
      </c>
      <c r="D28" t="e">
        <f>Calc!#REF!*1000</f>
        <v>#REF!</v>
      </c>
      <c r="E28" t="e">
        <f>Calc!#REF!</f>
        <v>#REF!</v>
      </c>
      <c r="F28" t="e">
        <f>Calc!#REF!</f>
        <v>#REF!</v>
      </c>
      <c r="G28" t="e">
        <f>Calc!#REF!</f>
        <v>#REF!</v>
      </c>
      <c r="H28" t="e">
        <f>Calc!#REF!</f>
        <v>#REF!</v>
      </c>
      <c r="I28" t="e">
        <f>Calc!#REF!</f>
        <v>#REF!</v>
      </c>
      <c r="J28" t="e">
        <f>Calc!#REF!</f>
        <v>#REF!</v>
      </c>
      <c r="K28" t="e">
        <f>Calc!#REF!</f>
        <v>#REF!</v>
      </c>
      <c r="L28" t="e">
        <f>Calc!#REF!</f>
        <v>#REF!</v>
      </c>
      <c r="M28" t="e">
        <f>Calc!#REF!</f>
        <v>#REF!</v>
      </c>
      <c r="N28" t="e">
        <f>Calc!#REF!</f>
        <v>#REF!</v>
      </c>
      <c r="O28" t="e">
        <f>Calc!#REF!</f>
        <v>#REF!</v>
      </c>
      <c r="P28" t="e">
        <f>Calc!#REF!</f>
        <v>#REF!</v>
      </c>
      <c r="Q28" t="e">
        <f>Calc!#REF!</f>
        <v>#REF!</v>
      </c>
      <c r="R28" t="e">
        <f>Calc!#REF!</f>
        <v>#REF!</v>
      </c>
      <c r="S28" t="e">
        <f>Input!#REF!</f>
        <v>#REF!</v>
      </c>
    </row>
    <row r="29" spans="1:19" x14ac:dyDescent="0.25">
      <c r="A29" t="e">
        <f>Input!#REF!</f>
        <v>#REF!</v>
      </c>
      <c r="B29" t="e">
        <f>Input!#REF!</f>
        <v>#REF!</v>
      </c>
      <c r="C29" t="e">
        <f>Calc!#REF!*1000</f>
        <v>#REF!</v>
      </c>
      <c r="D29" t="e">
        <f>Calc!#REF!*1000</f>
        <v>#REF!</v>
      </c>
      <c r="E29" t="e">
        <f>Calc!#REF!</f>
        <v>#REF!</v>
      </c>
      <c r="F29" t="e">
        <f>Calc!#REF!</f>
        <v>#REF!</v>
      </c>
      <c r="G29" t="e">
        <f>Calc!#REF!</f>
        <v>#REF!</v>
      </c>
      <c r="H29" t="e">
        <f>Calc!#REF!</f>
        <v>#REF!</v>
      </c>
      <c r="I29" t="e">
        <f>Calc!#REF!</f>
        <v>#REF!</v>
      </c>
      <c r="J29" t="e">
        <f>Calc!#REF!</f>
        <v>#REF!</v>
      </c>
      <c r="K29" t="e">
        <f>Calc!#REF!</f>
        <v>#REF!</v>
      </c>
      <c r="L29" t="e">
        <f>Calc!#REF!</f>
        <v>#REF!</v>
      </c>
      <c r="M29" t="e">
        <f>Calc!#REF!</f>
        <v>#REF!</v>
      </c>
      <c r="N29" t="e">
        <f>Calc!#REF!</f>
        <v>#REF!</v>
      </c>
      <c r="O29" t="e">
        <f>Calc!#REF!</f>
        <v>#REF!</v>
      </c>
      <c r="P29" t="e">
        <f>Calc!#REF!</f>
        <v>#REF!</v>
      </c>
      <c r="Q29" t="e">
        <f>Calc!#REF!</f>
        <v>#REF!</v>
      </c>
      <c r="R29" t="e">
        <f>Calc!#REF!</f>
        <v>#REF!</v>
      </c>
      <c r="S29" t="e">
        <f>Input!#REF!</f>
        <v>#REF!</v>
      </c>
    </row>
    <row r="30" spans="1:19" x14ac:dyDescent="0.25">
      <c r="A30" t="e">
        <f>Input!#REF!</f>
        <v>#REF!</v>
      </c>
      <c r="B30" t="e">
        <f>Input!#REF!</f>
        <v>#REF!</v>
      </c>
      <c r="C30" t="e">
        <f>Calc!#REF!*1000</f>
        <v>#REF!</v>
      </c>
      <c r="D30" t="e">
        <f>Calc!#REF!*1000</f>
        <v>#REF!</v>
      </c>
      <c r="E30" t="e">
        <f>Calc!#REF!</f>
        <v>#REF!</v>
      </c>
      <c r="F30" t="e">
        <f>Calc!#REF!</f>
        <v>#REF!</v>
      </c>
      <c r="G30" t="e">
        <f>Calc!#REF!</f>
        <v>#REF!</v>
      </c>
      <c r="H30" t="e">
        <f>Calc!#REF!</f>
        <v>#REF!</v>
      </c>
      <c r="I30" t="e">
        <f>Calc!#REF!</f>
        <v>#REF!</v>
      </c>
      <c r="J30" t="e">
        <f>Calc!#REF!</f>
        <v>#REF!</v>
      </c>
      <c r="K30" t="e">
        <f>Calc!#REF!</f>
        <v>#REF!</v>
      </c>
      <c r="L30" t="e">
        <f>Calc!#REF!</f>
        <v>#REF!</v>
      </c>
      <c r="M30" t="e">
        <f>Calc!#REF!</f>
        <v>#REF!</v>
      </c>
      <c r="N30" t="e">
        <f>Calc!#REF!</f>
        <v>#REF!</v>
      </c>
      <c r="O30" t="e">
        <f>Calc!#REF!</f>
        <v>#REF!</v>
      </c>
      <c r="P30" t="e">
        <f>Calc!#REF!</f>
        <v>#REF!</v>
      </c>
      <c r="Q30" t="e">
        <f>Calc!#REF!</f>
        <v>#REF!</v>
      </c>
      <c r="R30" t="e">
        <f>Calc!#REF!</f>
        <v>#REF!</v>
      </c>
      <c r="S30" t="e">
        <f>Input!#REF!</f>
        <v>#REF!</v>
      </c>
    </row>
    <row r="31" spans="1:19" x14ac:dyDescent="0.25">
      <c r="A31" t="e">
        <f>Input!#REF!</f>
        <v>#REF!</v>
      </c>
      <c r="B31" t="e">
        <f>Input!#REF!</f>
        <v>#REF!</v>
      </c>
      <c r="C31" t="e">
        <f>Calc!#REF!*1000</f>
        <v>#REF!</v>
      </c>
      <c r="D31" t="e">
        <f>Calc!#REF!*1000</f>
        <v>#REF!</v>
      </c>
      <c r="E31" t="e">
        <f>Calc!#REF!</f>
        <v>#REF!</v>
      </c>
      <c r="F31" t="e">
        <f>Calc!#REF!</f>
        <v>#REF!</v>
      </c>
      <c r="G31" t="e">
        <f>Calc!#REF!</f>
        <v>#REF!</v>
      </c>
      <c r="H31" t="e">
        <f>Calc!#REF!</f>
        <v>#REF!</v>
      </c>
      <c r="I31" t="e">
        <f>Calc!#REF!</f>
        <v>#REF!</v>
      </c>
      <c r="J31" t="e">
        <f>Calc!#REF!</f>
        <v>#REF!</v>
      </c>
      <c r="K31" t="e">
        <f>Calc!#REF!</f>
        <v>#REF!</v>
      </c>
      <c r="L31" t="e">
        <f>Calc!#REF!</f>
        <v>#REF!</v>
      </c>
      <c r="M31" t="e">
        <f>Calc!#REF!</f>
        <v>#REF!</v>
      </c>
      <c r="N31" t="e">
        <f>Calc!#REF!</f>
        <v>#REF!</v>
      </c>
      <c r="O31" t="e">
        <f>Calc!#REF!</f>
        <v>#REF!</v>
      </c>
      <c r="P31" t="e">
        <f>Calc!#REF!</f>
        <v>#REF!</v>
      </c>
      <c r="Q31" t="e">
        <f>Calc!#REF!</f>
        <v>#REF!</v>
      </c>
      <c r="R31" t="e">
        <f>Calc!#REF!</f>
        <v>#REF!</v>
      </c>
      <c r="S31" t="e">
        <f>Input!#REF!</f>
        <v>#REF!</v>
      </c>
    </row>
    <row r="32" spans="1:19" x14ac:dyDescent="0.25">
      <c r="A32" t="e">
        <f>Input!#REF!</f>
        <v>#REF!</v>
      </c>
      <c r="B32" t="e">
        <f>Input!#REF!</f>
        <v>#REF!</v>
      </c>
      <c r="C32" t="e">
        <f>Calc!#REF!*1000</f>
        <v>#REF!</v>
      </c>
      <c r="D32" t="e">
        <f>Calc!#REF!*1000</f>
        <v>#REF!</v>
      </c>
      <c r="E32" t="e">
        <f>Calc!#REF!</f>
        <v>#REF!</v>
      </c>
      <c r="F32" t="e">
        <f>Calc!#REF!</f>
        <v>#REF!</v>
      </c>
      <c r="G32" t="e">
        <f>Calc!#REF!</f>
        <v>#REF!</v>
      </c>
      <c r="H32" t="e">
        <f>Calc!#REF!</f>
        <v>#REF!</v>
      </c>
      <c r="I32" t="e">
        <f>Calc!#REF!</f>
        <v>#REF!</v>
      </c>
      <c r="J32" t="e">
        <f>Calc!#REF!</f>
        <v>#REF!</v>
      </c>
      <c r="K32" t="e">
        <f>Calc!#REF!</f>
        <v>#REF!</v>
      </c>
      <c r="L32" t="e">
        <f>Calc!#REF!</f>
        <v>#REF!</v>
      </c>
      <c r="M32" t="e">
        <f>Calc!#REF!</f>
        <v>#REF!</v>
      </c>
      <c r="N32" t="e">
        <f>Calc!#REF!</f>
        <v>#REF!</v>
      </c>
      <c r="O32" t="e">
        <f>Calc!#REF!</f>
        <v>#REF!</v>
      </c>
      <c r="P32" t="e">
        <f>Calc!#REF!</f>
        <v>#REF!</v>
      </c>
      <c r="Q32" t="e">
        <f>Calc!#REF!</f>
        <v>#REF!</v>
      </c>
      <c r="R32" t="e">
        <f>Calc!#REF!</f>
        <v>#REF!</v>
      </c>
      <c r="S32" t="e">
        <f>Input!#REF!</f>
        <v>#REF!</v>
      </c>
    </row>
    <row r="33" spans="1:19" x14ac:dyDescent="0.25">
      <c r="A33" t="e">
        <f>Input!#REF!</f>
        <v>#REF!</v>
      </c>
      <c r="B33" t="e">
        <f>Input!#REF!</f>
        <v>#REF!</v>
      </c>
      <c r="C33" t="e">
        <f>Calc!#REF!*1000</f>
        <v>#REF!</v>
      </c>
      <c r="D33" t="e">
        <f>Calc!#REF!*1000</f>
        <v>#REF!</v>
      </c>
      <c r="E33" t="e">
        <f>Calc!#REF!</f>
        <v>#REF!</v>
      </c>
      <c r="F33" t="e">
        <f>Calc!#REF!</f>
        <v>#REF!</v>
      </c>
      <c r="G33" t="e">
        <f>Calc!#REF!</f>
        <v>#REF!</v>
      </c>
      <c r="H33" t="e">
        <f>Calc!#REF!</f>
        <v>#REF!</v>
      </c>
      <c r="I33" t="e">
        <f>Calc!#REF!</f>
        <v>#REF!</v>
      </c>
      <c r="J33" t="e">
        <f>Calc!#REF!</f>
        <v>#REF!</v>
      </c>
      <c r="K33" t="e">
        <f>Calc!#REF!</f>
        <v>#REF!</v>
      </c>
      <c r="L33" t="e">
        <f>Calc!#REF!</f>
        <v>#REF!</v>
      </c>
      <c r="M33" t="e">
        <f>Calc!#REF!</f>
        <v>#REF!</v>
      </c>
      <c r="N33" t="e">
        <f>Calc!#REF!</f>
        <v>#REF!</v>
      </c>
      <c r="O33" t="e">
        <f>Calc!#REF!</f>
        <v>#REF!</v>
      </c>
      <c r="P33" t="e">
        <f>Calc!#REF!</f>
        <v>#REF!</v>
      </c>
      <c r="Q33" t="e">
        <f>Calc!#REF!</f>
        <v>#REF!</v>
      </c>
      <c r="R33" t="e">
        <f>Calc!#REF!</f>
        <v>#REF!</v>
      </c>
      <c r="S33" t="e">
        <f>Input!#REF!</f>
        <v>#REF!</v>
      </c>
    </row>
    <row r="34" spans="1:19" x14ac:dyDescent="0.25">
      <c r="A34" t="e">
        <f>Input!#REF!</f>
        <v>#REF!</v>
      </c>
      <c r="B34" t="e">
        <f>Input!#REF!</f>
        <v>#REF!</v>
      </c>
      <c r="C34" t="e">
        <f>Calc!#REF!*1000</f>
        <v>#REF!</v>
      </c>
      <c r="D34" t="e">
        <f>Calc!#REF!*1000</f>
        <v>#REF!</v>
      </c>
      <c r="E34" t="e">
        <f>Calc!#REF!</f>
        <v>#REF!</v>
      </c>
      <c r="F34" t="e">
        <f>Calc!#REF!</f>
        <v>#REF!</v>
      </c>
      <c r="G34" t="e">
        <f>Calc!#REF!</f>
        <v>#REF!</v>
      </c>
      <c r="H34" t="e">
        <f>Calc!#REF!</f>
        <v>#REF!</v>
      </c>
      <c r="I34" t="e">
        <f>Calc!#REF!</f>
        <v>#REF!</v>
      </c>
      <c r="J34" t="e">
        <f>Calc!#REF!</f>
        <v>#REF!</v>
      </c>
      <c r="K34" t="e">
        <f>Calc!#REF!</f>
        <v>#REF!</v>
      </c>
      <c r="L34" t="e">
        <f>Calc!#REF!</f>
        <v>#REF!</v>
      </c>
      <c r="M34" t="e">
        <f>Calc!#REF!</f>
        <v>#REF!</v>
      </c>
      <c r="N34" t="e">
        <f>Calc!#REF!</f>
        <v>#REF!</v>
      </c>
      <c r="O34" t="e">
        <f>Calc!#REF!</f>
        <v>#REF!</v>
      </c>
      <c r="P34" t="e">
        <f>Calc!#REF!</f>
        <v>#REF!</v>
      </c>
      <c r="Q34" t="e">
        <f>Calc!#REF!</f>
        <v>#REF!</v>
      </c>
      <c r="R34" t="e">
        <f>Calc!#REF!</f>
        <v>#REF!</v>
      </c>
      <c r="S34" t="e">
        <f>Input!#REF!</f>
        <v>#REF!</v>
      </c>
    </row>
    <row r="35" spans="1:19" x14ac:dyDescent="0.25">
      <c r="A35" t="e">
        <f>Input!#REF!</f>
        <v>#REF!</v>
      </c>
      <c r="B35" t="e">
        <f>Input!#REF!</f>
        <v>#REF!</v>
      </c>
      <c r="C35" t="e">
        <f>Calc!#REF!*1000</f>
        <v>#REF!</v>
      </c>
      <c r="D35" t="e">
        <f>Calc!#REF!*1000</f>
        <v>#REF!</v>
      </c>
      <c r="E35" t="e">
        <f>Calc!#REF!</f>
        <v>#REF!</v>
      </c>
      <c r="F35" t="e">
        <f>Calc!#REF!</f>
        <v>#REF!</v>
      </c>
      <c r="G35" t="e">
        <f>Calc!#REF!</f>
        <v>#REF!</v>
      </c>
      <c r="H35" t="e">
        <f>Calc!#REF!</f>
        <v>#REF!</v>
      </c>
      <c r="I35" t="e">
        <f>Calc!#REF!</f>
        <v>#REF!</v>
      </c>
      <c r="J35" t="e">
        <f>Calc!#REF!</f>
        <v>#REF!</v>
      </c>
      <c r="K35" t="e">
        <f>Calc!#REF!</f>
        <v>#REF!</v>
      </c>
      <c r="L35" t="e">
        <f>Calc!#REF!</f>
        <v>#REF!</v>
      </c>
      <c r="M35" t="e">
        <f>Calc!#REF!</f>
        <v>#REF!</v>
      </c>
      <c r="N35" t="e">
        <f>Calc!#REF!</f>
        <v>#REF!</v>
      </c>
      <c r="O35" t="e">
        <f>Calc!#REF!</f>
        <v>#REF!</v>
      </c>
      <c r="P35" t="e">
        <f>Calc!#REF!</f>
        <v>#REF!</v>
      </c>
      <c r="Q35" t="e">
        <f>Calc!#REF!</f>
        <v>#REF!</v>
      </c>
      <c r="R35" t="e">
        <f>Calc!#REF!</f>
        <v>#REF!</v>
      </c>
      <c r="S35" t="e">
        <f>Input!#REF!</f>
        <v>#REF!</v>
      </c>
    </row>
    <row r="36" spans="1:19" x14ac:dyDescent="0.25">
      <c r="A36" t="e">
        <f>Input!#REF!</f>
        <v>#REF!</v>
      </c>
      <c r="B36" t="e">
        <f>Input!#REF!</f>
        <v>#REF!</v>
      </c>
      <c r="C36" t="e">
        <f>Calc!#REF!*1000</f>
        <v>#REF!</v>
      </c>
      <c r="D36" t="e">
        <f>Calc!#REF!*1000</f>
        <v>#REF!</v>
      </c>
      <c r="E36" t="e">
        <f>Calc!#REF!</f>
        <v>#REF!</v>
      </c>
      <c r="F36" t="e">
        <f>Calc!#REF!</f>
        <v>#REF!</v>
      </c>
      <c r="G36" t="e">
        <f>Calc!#REF!</f>
        <v>#REF!</v>
      </c>
      <c r="H36" t="e">
        <f>Calc!#REF!</f>
        <v>#REF!</v>
      </c>
      <c r="I36" t="e">
        <f>Calc!#REF!</f>
        <v>#REF!</v>
      </c>
      <c r="J36" t="e">
        <f>Calc!#REF!</f>
        <v>#REF!</v>
      </c>
      <c r="K36" t="e">
        <f>Calc!#REF!</f>
        <v>#REF!</v>
      </c>
      <c r="L36" t="e">
        <f>Calc!#REF!</f>
        <v>#REF!</v>
      </c>
      <c r="M36" t="e">
        <f>Calc!#REF!</f>
        <v>#REF!</v>
      </c>
      <c r="N36" t="e">
        <f>Calc!#REF!</f>
        <v>#REF!</v>
      </c>
      <c r="O36" t="e">
        <f>Calc!#REF!</f>
        <v>#REF!</v>
      </c>
      <c r="P36" t="e">
        <f>Calc!#REF!</f>
        <v>#REF!</v>
      </c>
      <c r="Q36" t="e">
        <f>Calc!#REF!</f>
        <v>#REF!</v>
      </c>
      <c r="R36" t="e">
        <f>Calc!#REF!</f>
        <v>#REF!</v>
      </c>
      <c r="S36" t="e">
        <f>Input!#REF!</f>
        <v>#REF!</v>
      </c>
    </row>
    <row r="37" spans="1:19" x14ac:dyDescent="0.25">
      <c r="A37" t="e">
        <f>Input!#REF!</f>
        <v>#REF!</v>
      </c>
      <c r="B37" t="e">
        <f>Input!#REF!</f>
        <v>#REF!</v>
      </c>
      <c r="C37" t="e">
        <f>Calc!#REF!*1000</f>
        <v>#REF!</v>
      </c>
      <c r="D37" t="e">
        <f>Calc!#REF!*1000</f>
        <v>#REF!</v>
      </c>
      <c r="E37" t="e">
        <f>Calc!#REF!</f>
        <v>#REF!</v>
      </c>
      <c r="F37" t="e">
        <f>Calc!#REF!</f>
        <v>#REF!</v>
      </c>
      <c r="G37" t="e">
        <f>Calc!#REF!</f>
        <v>#REF!</v>
      </c>
      <c r="H37" t="e">
        <f>Calc!#REF!</f>
        <v>#REF!</v>
      </c>
      <c r="I37" t="e">
        <f>Calc!#REF!</f>
        <v>#REF!</v>
      </c>
      <c r="J37" t="e">
        <f>Calc!#REF!</f>
        <v>#REF!</v>
      </c>
      <c r="K37" t="e">
        <f>Calc!#REF!</f>
        <v>#REF!</v>
      </c>
      <c r="L37" t="e">
        <f>Calc!#REF!</f>
        <v>#REF!</v>
      </c>
      <c r="M37" t="e">
        <f>Calc!#REF!</f>
        <v>#REF!</v>
      </c>
      <c r="N37" t="e">
        <f>Calc!#REF!</f>
        <v>#REF!</v>
      </c>
      <c r="O37" t="e">
        <f>Calc!#REF!</f>
        <v>#REF!</v>
      </c>
      <c r="P37" t="e">
        <f>Calc!#REF!</f>
        <v>#REF!</v>
      </c>
      <c r="Q37" t="e">
        <f>Calc!#REF!</f>
        <v>#REF!</v>
      </c>
      <c r="R37" t="e">
        <f>Calc!#REF!</f>
        <v>#REF!</v>
      </c>
      <c r="S37" t="e">
        <f>Input!#REF!</f>
        <v>#REF!</v>
      </c>
    </row>
    <row r="38" spans="1:19" x14ac:dyDescent="0.25">
      <c r="A38" t="e">
        <f>Input!#REF!</f>
        <v>#REF!</v>
      </c>
      <c r="B38" t="e">
        <f>Input!#REF!</f>
        <v>#REF!</v>
      </c>
      <c r="C38" t="e">
        <f>Calc!#REF!*1000</f>
        <v>#REF!</v>
      </c>
      <c r="D38" t="e">
        <f>Calc!#REF!*1000</f>
        <v>#REF!</v>
      </c>
      <c r="E38" t="e">
        <f>Calc!#REF!</f>
        <v>#REF!</v>
      </c>
      <c r="F38" t="e">
        <f>Calc!#REF!</f>
        <v>#REF!</v>
      </c>
      <c r="G38" t="e">
        <f>Calc!#REF!</f>
        <v>#REF!</v>
      </c>
      <c r="H38" t="e">
        <f>Calc!#REF!</f>
        <v>#REF!</v>
      </c>
      <c r="I38" t="e">
        <f>Calc!#REF!</f>
        <v>#REF!</v>
      </c>
      <c r="J38" t="e">
        <f>Calc!#REF!</f>
        <v>#REF!</v>
      </c>
      <c r="K38" t="e">
        <f>Calc!#REF!</f>
        <v>#REF!</v>
      </c>
      <c r="L38" t="e">
        <f>Calc!#REF!</f>
        <v>#REF!</v>
      </c>
      <c r="M38" t="e">
        <f>Calc!#REF!</f>
        <v>#REF!</v>
      </c>
      <c r="N38" t="e">
        <f>Calc!#REF!</f>
        <v>#REF!</v>
      </c>
      <c r="O38" t="e">
        <f>Calc!#REF!</f>
        <v>#REF!</v>
      </c>
      <c r="P38" t="e">
        <f>Calc!#REF!</f>
        <v>#REF!</v>
      </c>
      <c r="Q38" t="e">
        <f>Calc!#REF!</f>
        <v>#REF!</v>
      </c>
      <c r="R38" t="e">
        <f>Calc!#REF!</f>
        <v>#REF!</v>
      </c>
      <c r="S38" t="e">
        <f>Input!#REF!</f>
        <v>#REF!</v>
      </c>
    </row>
    <row r="39" spans="1:19" x14ac:dyDescent="0.25">
      <c r="A39" t="e">
        <f>Input!#REF!</f>
        <v>#REF!</v>
      </c>
      <c r="B39" t="e">
        <f>Input!#REF!</f>
        <v>#REF!</v>
      </c>
      <c r="C39" t="e">
        <f>Calc!#REF!*1000</f>
        <v>#REF!</v>
      </c>
      <c r="D39" t="e">
        <f>Calc!#REF!*1000</f>
        <v>#REF!</v>
      </c>
      <c r="E39" t="e">
        <f>Calc!#REF!</f>
        <v>#REF!</v>
      </c>
      <c r="F39" t="e">
        <f>Calc!#REF!</f>
        <v>#REF!</v>
      </c>
      <c r="G39" t="e">
        <f>Calc!#REF!</f>
        <v>#REF!</v>
      </c>
      <c r="H39" t="e">
        <f>Calc!#REF!</f>
        <v>#REF!</v>
      </c>
      <c r="I39" t="e">
        <f>Calc!#REF!</f>
        <v>#REF!</v>
      </c>
      <c r="J39" t="e">
        <f>Calc!#REF!</f>
        <v>#REF!</v>
      </c>
      <c r="K39" t="e">
        <f>Calc!#REF!</f>
        <v>#REF!</v>
      </c>
      <c r="L39" t="e">
        <f>Calc!#REF!</f>
        <v>#REF!</v>
      </c>
      <c r="M39" t="e">
        <f>Calc!#REF!</f>
        <v>#REF!</v>
      </c>
      <c r="N39" t="e">
        <f>Calc!#REF!</f>
        <v>#REF!</v>
      </c>
      <c r="O39" t="e">
        <f>Calc!#REF!</f>
        <v>#REF!</v>
      </c>
      <c r="P39" t="e">
        <f>Calc!#REF!</f>
        <v>#REF!</v>
      </c>
      <c r="Q39" t="e">
        <f>Calc!#REF!</f>
        <v>#REF!</v>
      </c>
      <c r="R39" t="e">
        <f>Calc!#REF!</f>
        <v>#REF!</v>
      </c>
      <c r="S39" t="e">
        <f>Input!#REF!</f>
        <v>#REF!</v>
      </c>
    </row>
    <row r="40" spans="1:19" x14ac:dyDescent="0.25">
      <c r="A40" t="e">
        <f>Input!#REF!</f>
        <v>#REF!</v>
      </c>
      <c r="B40" t="e">
        <f>Input!#REF!</f>
        <v>#REF!</v>
      </c>
      <c r="C40" t="e">
        <f>Calc!#REF!*1000</f>
        <v>#REF!</v>
      </c>
      <c r="D40" t="e">
        <f>Calc!#REF!*1000</f>
        <v>#REF!</v>
      </c>
      <c r="E40" t="e">
        <f>Calc!#REF!</f>
        <v>#REF!</v>
      </c>
      <c r="F40" t="e">
        <f>Calc!#REF!</f>
        <v>#REF!</v>
      </c>
      <c r="G40" t="e">
        <f>Calc!#REF!</f>
        <v>#REF!</v>
      </c>
      <c r="H40" t="e">
        <f>Calc!#REF!</f>
        <v>#REF!</v>
      </c>
      <c r="I40" t="e">
        <f>Calc!#REF!</f>
        <v>#REF!</v>
      </c>
      <c r="J40" t="e">
        <f>Calc!#REF!</f>
        <v>#REF!</v>
      </c>
      <c r="K40" t="e">
        <f>Calc!#REF!</f>
        <v>#REF!</v>
      </c>
      <c r="L40" t="e">
        <f>Calc!#REF!</f>
        <v>#REF!</v>
      </c>
      <c r="M40" t="e">
        <f>Calc!#REF!</f>
        <v>#REF!</v>
      </c>
      <c r="N40" t="e">
        <f>Calc!#REF!</f>
        <v>#REF!</v>
      </c>
      <c r="O40" t="e">
        <f>Calc!#REF!</f>
        <v>#REF!</v>
      </c>
      <c r="P40" t="e">
        <f>Calc!#REF!</f>
        <v>#REF!</v>
      </c>
      <c r="Q40" t="e">
        <f>Calc!#REF!</f>
        <v>#REF!</v>
      </c>
      <c r="R40" t="e">
        <f>Calc!#REF!</f>
        <v>#REF!</v>
      </c>
      <c r="S40" t="e">
        <f>Input!#REF!</f>
        <v>#REF!</v>
      </c>
    </row>
    <row r="41" spans="1:19" x14ac:dyDescent="0.25">
      <c r="A41" t="e">
        <f>Input!#REF!</f>
        <v>#REF!</v>
      </c>
      <c r="B41" t="e">
        <f>Input!#REF!</f>
        <v>#REF!</v>
      </c>
      <c r="C41" t="e">
        <f>Calc!#REF!*1000</f>
        <v>#REF!</v>
      </c>
      <c r="D41" t="e">
        <f>Calc!#REF!*1000</f>
        <v>#REF!</v>
      </c>
      <c r="E41" t="e">
        <f>Calc!#REF!</f>
        <v>#REF!</v>
      </c>
      <c r="F41" t="e">
        <f>Calc!#REF!</f>
        <v>#REF!</v>
      </c>
      <c r="G41" t="e">
        <f>Calc!#REF!</f>
        <v>#REF!</v>
      </c>
      <c r="H41" t="e">
        <f>Calc!#REF!</f>
        <v>#REF!</v>
      </c>
      <c r="I41" t="e">
        <f>Calc!#REF!</f>
        <v>#REF!</v>
      </c>
      <c r="J41" t="e">
        <f>Calc!#REF!</f>
        <v>#REF!</v>
      </c>
      <c r="K41" t="e">
        <f>Calc!#REF!</f>
        <v>#REF!</v>
      </c>
      <c r="L41" t="e">
        <f>Calc!#REF!</f>
        <v>#REF!</v>
      </c>
      <c r="M41" t="e">
        <f>Calc!#REF!</f>
        <v>#REF!</v>
      </c>
      <c r="N41" t="e">
        <f>Calc!#REF!</f>
        <v>#REF!</v>
      </c>
      <c r="O41" t="e">
        <f>Calc!#REF!</f>
        <v>#REF!</v>
      </c>
      <c r="P41" t="e">
        <f>Calc!#REF!</f>
        <v>#REF!</v>
      </c>
      <c r="Q41" t="e">
        <f>Calc!#REF!</f>
        <v>#REF!</v>
      </c>
      <c r="R41" t="e">
        <f>Calc!#REF!</f>
        <v>#REF!</v>
      </c>
      <c r="S41" t="e">
        <f>Input!#REF!</f>
        <v>#REF!</v>
      </c>
    </row>
    <row r="42" spans="1:19" x14ac:dyDescent="0.25">
      <c r="A42" t="e">
        <f>Input!#REF!</f>
        <v>#REF!</v>
      </c>
      <c r="B42" t="e">
        <f>Input!#REF!</f>
        <v>#REF!</v>
      </c>
      <c r="C42" t="e">
        <f>Calc!#REF!*1000</f>
        <v>#REF!</v>
      </c>
      <c r="D42" t="e">
        <f>Calc!#REF!*1000</f>
        <v>#REF!</v>
      </c>
      <c r="E42" t="e">
        <f>Calc!#REF!</f>
        <v>#REF!</v>
      </c>
      <c r="F42" t="e">
        <f>Calc!#REF!</f>
        <v>#REF!</v>
      </c>
      <c r="G42" t="e">
        <f>Calc!#REF!</f>
        <v>#REF!</v>
      </c>
      <c r="H42" t="e">
        <f>Calc!#REF!</f>
        <v>#REF!</v>
      </c>
      <c r="I42" t="e">
        <f>Calc!#REF!</f>
        <v>#REF!</v>
      </c>
      <c r="J42" t="e">
        <f>Calc!#REF!</f>
        <v>#REF!</v>
      </c>
      <c r="K42" t="e">
        <f>Calc!#REF!</f>
        <v>#REF!</v>
      </c>
      <c r="L42" t="e">
        <f>Calc!#REF!</f>
        <v>#REF!</v>
      </c>
      <c r="M42" t="e">
        <f>Calc!#REF!</f>
        <v>#REF!</v>
      </c>
      <c r="N42" t="e">
        <f>Calc!#REF!</f>
        <v>#REF!</v>
      </c>
      <c r="O42" t="e">
        <f>Calc!#REF!</f>
        <v>#REF!</v>
      </c>
      <c r="P42" t="e">
        <f>Calc!#REF!</f>
        <v>#REF!</v>
      </c>
      <c r="Q42" t="e">
        <f>Calc!#REF!</f>
        <v>#REF!</v>
      </c>
      <c r="R42" t="e">
        <f>Calc!#REF!</f>
        <v>#REF!</v>
      </c>
      <c r="S42" t="e">
        <f>Input!#REF!</f>
        <v>#REF!</v>
      </c>
    </row>
    <row r="43" spans="1:19" x14ac:dyDescent="0.25">
      <c r="A43" t="e">
        <f>Input!#REF!</f>
        <v>#REF!</v>
      </c>
      <c r="B43" t="e">
        <f>Input!#REF!</f>
        <v>#REF!</v>
      </c>
      <c r="C43" t="e">
        <f>Calc!#REF!*1000</f>
        <v>#REF!</v>
      </c>
      <c r="D43" t="e">
        <f>Calc!#REF!*1000</f>
        <v>#REF!</v>
      </c>
      <c r="E43" t="e">
        <f>Calc!#REF!</f>
        <v>#REF!</v>
      </c>
      <c r="F43" t="e">
        <f>Calc!#REF!</f>
        <v>#REF!</v>
      </c>
      <c r="G43" t="e">
        <f>Calc!#REF!</f>
        <v>#REF!</v>
      </c>
      <c r="H43" t="e">
        <f>Calc!#REF!</f>
        <v>#REF!</v>
      </c>
      <c r="I43" t="e">
        <f>Calc!#REF!</f>
        <v>#REF!</v>
      </c>
      <c r="J43" t="e">
        <f>Calc!#REF!</f>
        <v>#REF!</v>
      </c>
      <c r="K43" t="e">
        <f>Calc!#REF!</f>
        <v>#REF!</v>
      </c>
      <c r="L43" t="e">
        <f>Calc!#REF!</f>
        <v>#REF!</v>
      </c>
      <c r="M43" t="e">
        <f>Calc!#REF!</f>
        <v>#REF!</v>
      </c>
      <c r="N43" t="e">
        <f>Calc!#REF!</f>
        <v>#REF!</v>
      </c>
      <c r="O43" t="e">
        <f>Calc!#REF!</f>
        <v>#REF!</v>
      </c>
      <c r="P43" t="e">
        <f>Calc!#REF!</f>
        <v>#REF!</v>
      </c>
      <c r="Q43" t="e">
        <f>Calc!#REF!</f>
        <v>#REF!</v>
      </c>
      <c r="R43" t="e">
        <f>Calc!#REF!</f>
        <v>#REF!</v>
      </c>
      <c r="S43" t="e">
        <f>Input!#REF!</f>
        <v>#REF!</v>
      </c>
    </row>
    <row r="44" spans="1:19" x14ac:dyDescent="0.25">
      <c r="A44" t="e">
        <f>Input!#REF!</f>
        <v>#REF!</v>
      </c>
      <c r="B44" t="e">
        <f>Input!#REF!</f>
        <v>#REF!</v>
      </c>
      <c r="C44" t="e">
        <f>Calc!#REF!*1000</f>
        <v>#REF!</v>
      </c>
      <c r="D44" t="e">
        <f>Calc!#REF!*1000</f>
        <v>#REF!</v>
      </c>
      <c r="E44" t="e">
        <f>Calc!#REF!</f>
        <v>#REF!</v>
      </c>
      <c r="F44" t="e">
        <f>Calc!#REF!</f>
        <v>#REF!</v>
      </c>
      <c r="G44" t="e">
        <f>Calc!#REF!</f>
        <v>#REF!</v>
      </c>
      <c r="H44" t="e">
        <f>Calc!#REF!</f>
        <v>#REF!</v>
      </c>
      <c r="I44" t="e">
        <f>Calc!#REF!</f>
        <v>#REF!</v>
      </c>
      <c r="J44" t="e">
        <f>Calc!#REF!</f>
        <v>#REF!</v>
      </c>
      <c r="K44" t="e">
        <f>Calc!#REF!</f>
        <v>#REF!</v>
      </c>
      <c r="L44" t="e">
        <f>Calc!#REF!</f>
        <v>#REF!</v>
      </c>
      <c r="M44" t="e">
        <f>Calc!#REF!</f>
        <v>#REF!</v>
      </c>
      <c r="N44" t="e">
        <f>Calc!#REF!</f>
        <v>#REF!</v>
      </c>
      <c r="O44" t="e">
        <f>Calc!#REF!</f>
        <v>#REF!</v>
      </c>
      <c r="P44" t="e">
        <f>Calc!#REF!</f>
        <v>#REF!</v>
      </c>
      <c r="Q44" t="e">
        <f>Calc!#REF!</f>
        <v>#REF!</v>
      </c>
      <c r="R44" t="e">
        <f>Calc!#REF!</f>
        <v>#REF!</v>
      </c>
      <c r="S44" t="e">
        <f>Input!#REF!</f>
        <v>#REF!</v>
      </c>
    </row>
    <row r="45" spans="1:19" x14ac:dyDescent="0.25">
      <c r="A45" t="e">
        <f>Input!#REF!</f>
        <v>#REF!</v>
      </c>
      <c r="B45" t="e">
        <f>Input!#REF!</f>
        <v>#REF!</v>
      </c>
      <c r="C45" t="e">
        <f>Calc!#REF!*1000</f>
        <v>#REF!</v>
      </c>
      <c r="D45" t="e">
        <f>Calc!#REF!*1000</f>
        <v>#REF!</v>
      </c>
      <c r="E45" t="e">
        <f>Calc!#REF!</f>
        <v>#REF!</v>
      </c>
      <c r="F45" t="e">
        <f>Calc!#REF!</f>
        <v>#REF!</v>
      </c>
      <c r="G45" t="e">
        <f>Calc!#REF!</f>
        <v>#REF!</v>
      </c>
      <c r="H45" t="e">
        <f>Calc!#REF!</f>
        <v>#REF!</v>
      </c>
      <c r="I45" t="e">
        <f>Calc!#REF!</f>
        <v>#REF!</v>
      </c>
      <c r="J45" t="e">
        <f>Calc!#REF!</f>
        <v>#REF!</v>
      </c>
      <c r="K45" t="e">
        <f>Calc!#REF!</f>
        <v>#REF!</v>
      </c>
      <c r="L45" t="e">
        <f>Calc!#REF!</f>
        <v>#REF!</v>
      </c>
      <c r="M45" t="e">
        <f>Calc!#REF!</f>
        <v>#REF!</v>
      </c>
      <c r="N45" t="e">
        <f>Calc!#REF!</f>
        <v>#REF!</v>
      </c>
      <c r="O45" t="e">
        <f>Calc!#REF!</f>
        <v>#REF!</v>
      </c>
      <c r="P45" t="e">
        <f>Calc!#REF!</f>
        <v>#REF!</v>
      </c>
      <c r="Q45" t="e">
        <f>Calc!#REF!</f>
        <v>#REF!</v>
      </c>
      <c r="R45" t="e">
        <f>Calc!#REF!</f>
        <v>#REF!</v>
      </c>
      <c r="S45" t="e">
        <f>Input!#REF!</f>
        <v>#REF!</v>
      </c>
    </row>
    <row r="46" spans="1:19" x14ac:dyDescent="0.25">
      <c r="A46" t="e">
        <f>Input!#REF!</f>
        <v>#REF!</v>
      </c>
      <c r="B46" t="e">
        <f>Input!#REF!</f>
        <v>#REF!</v>
      </c>
      <c r="C46" t="e">
        <f>Calc!#REF!*1000</f>
        <v>#REF!</v>
      </c>
      <c r="D46" t="e">
        <f>Calc!#REF!*1000</f>
        <v>#REF!</v>
      </c>
      <c r="E46" t="e">
        <f>Calc!#REF!</f>
        <v>#REF!</v>
      </c>
      <c r="F46" t="e">
        <f>Calc!#REF!</f>
        <v>#REF!</v>
      </c>
      <c r="G46" t="e">
        <f>Calc!#REF!</f>
        <v>#REF!</v>
      </c>
      <c r="H46" t="e">
        <f>Calc!#REF!</f>
        <v>#REF!</v>
      </c>
      <c r="I46" t="e">
        <f>Calc!#REF!</f>
        <v>#REF!</v>
      </c>
      <c r="J46" t="e">
        <f>Calc!#REF!</f>
        <v>#REF!</v>
      </c>
      <c r="K46" t="e">
        <f>Calc!#REF!</f>
        <v>#REF!</v>
      </c>
      <c r="L46" t="e">
        <f>Calc!#REF!</f>
        <v>#REF!</v>
      </c>
      <c r="M46" t="e">
        <f>Calc!#REF!</f>
        <v>#REF!</v>
      </c>
      <c r="N46" t="e">
        <f>Calc!#REF!</f>
        <v>#REF!</v>
      </c>
      <c r="O46" t="e">
        <f>Calc!#REF!</f>
        <v>#REF!</v>
      </c>
      <c r="P46" t="e">
        <f>Calc!#REF!</f>
        <v>#REF!</v>
      </c>
      <c r="Q46" t="e">
        <f>Calc!#REF!</f>
        <v>#REF!</v>
      </c>
      <c r="R46" t="e">
        <f>Calc!#REF!</f>
        <v>#REF!</v>
      </c>
      <c r="S46" t="e">
        <f>Input!#REF!</f>
        <v>#REF!</v>
      </c>
    </row>
    <row r="47" spans="1:19" x14ac:dyDescent="0.25">
      <c r="A47" t="e">
        <f>Input!#REF!</f>
        <v>#REF!</v>
      </c>
      <c r="B47" t="e">
        <f>Input!#REF!</f>
        <v>#REF!</v>
      </c>
      <c r="C47" t="e">
        <f>Calc!#REF!*1000</f>
        <v>#REF!</v>
      </c>
      <c r="D47" t="e">
        <f>Calc!#REF!*1000</f>
        <v>#REF!</v>
      </c>
      <c r="E47" t="e">
        <f>Calc!#REF!</f>
        <v>#REF!</v>
      </c>
      <c r="F47" t="e">
        <f>Calc!#REF!</f>
        <v>#REF!</v>
      </c>
      <c r="G47" t="e">
        <f>Calc!#REF!</f>
        <v>#REF!</v>
      </c>
      <c r="H47" t="e">
        <f>Calc!#REF!</f>
        <v>#REF!</v>
      </c>
      <c r="I47" t="e">
        <f>Calc!#REF!</f>
        <v>#REF!</v>
      </c>
      <c r="J47" t="e">
        <f>Calc!#REF!</f>
        <v>#REF!</v>
      </c>
      <c r="K47" t="e">
        <f>Calc!#REF!</f>
        <v>#REF!</v>
      </c>
      <c r="L47" t="e">
        <f>Calc!#REF!</f>
        <v>#REF!</v>
      </c>
      <c r="M47" t="e">
        <f>Calc!#REF!</f>
        <v>#REF!</v>
      </c>
      <c r="N47" t="e">
        <f>Calc!#REF!</f>
        <v>#REF!</v>
      </c>
      <c r="O47" t="e">
        <f>Calc!#REF!</f>
        <v>#REF!</v>
      </c>
      <c r="P47" t="e">
        <f>Calc!#REF!</f>
        <v>#REF!</v>
      </c>
      <c r="Q47" t="e">
        <f>Calc!#REF!</f>
        <v>#REF!</v>
      </c>
      <c r="R47" t="e">
        <f>Calc!#REF!</f>
        <v>#REF!</v>
      </c>
      <c r="S47" t="e">
        <f>Input!#REF!</f>
        <v>#REF!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Q2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5" x14ac:dyDescent="0.25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t="s">
        <v>71</v>
      </c>
      <c r="B1" t="s">
        <v>0</v>
      </c>
      <c r="C1" t="s">
        <v>88</v>
      </c>
      <c r="D1" t="s">
        <v>78</v>
      </c>
      <c r="E1" t="s">
        <v>89</v>
      </c>
      <c r="F1" t="s">
        <v>22</v>
      </c>
      <c r="G1" t="s">
        <v>6</v>
      </c>
      <c r="H1" t="s">
        <v>24</v>
      </c>
      <c r="I1" t="s">
        <v>6</v>
      </c>
      <c r="J1" t="s">
        <v>26</v>
      </c>
      <c r="K1" t="s">
        <v>6</v>
      </c>
      <c r="L1" t="s">
        <v>28</v>
      </c>
      <c r="M1" t="s">
        <v>4</v>
      </c>
      <c r="N1" t="s">
        <v>10</v>
      </c>
      <c r="O1" t="s">
        <v>6</v>
      </c>
      <c r="P1" t="s">
        <v>90</v>
      </c>
      <c r="Q1" t="s">
        <v>51</v>
      </c>
    </row>
    <row r="2" spans="1:17" ht="18.75" thickBot="1" x14ac:dyDescent="0.35">
      <c r="E2" t="s">
        <v>91</v>
      </c>
      <c r="F2" t="s">
        <v>35</v>
      </c>
      <c r="G2" t="s">
        <v>33</v>
      </c>
      <c r="H2" t="s">
        <v>36</v>
      </c>
      <c r="I2" t="s">
        <v>37</v>
      </c>
      <c r="J2" t="s">
        <v>31</v>
      </c>
      <c r="K2" t="s">
        <v>37</v>
      </c>
      <c r="L2" t="s">
        <v>84</v>
      </c>
      <c r="M2" t="s">
        <v>85</v>
      </c>
      <c r="N2" t="s">
        <v>84</v>
      </c>
      <c r="O2" t="s">
        <v>37</v>
      </c>
      <c r="P2" t="s">
        <v>39</v>
      </c>
      <c r="Q2" t="s">
        <v>50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C39"/>
  <sheetViews>
    <sheetView topLeftCell="Y1" workbookViewId="0">
      <selection activeCell="Y15" sqref="Y15"/>
    </sheetView>
  </sheetViews>
  <sheetFormatPr baseColWidth="10" defaultRowHeight="15" x14ac:dyDescent="0.25"/>
  <sheetData>
    <row r="1" spans="1:29" x14ac:dyDescent="0.25">
      <c r="A1" t="str">
        <f>[1]erg!A1</f>
        <v>Lab.Nr.</v>
      </c>
      <c r="B1" t="str">
        <f>[1]erg!B1</f>
        <v>Bezeich.</v>
      </c>
      <c r="C1" t="s">
        <v>94</v>
      </c>
      <c r="D1" t="s">
        <v>95</v>
      </c>
      <c r="E1" t="str">
        <f>[1]erg!C1</f>
        <v xml:space="preserve">   238U</v>
      </c>
      <c r="F1" t="str">
        <f>[1]erg!D1</f>
        <v xml:space="preserve">   Fehler</v>
      </c>
      <c r="G1" t="str">
        <f>[1]erg!E1</f>
        <v xml:space="preserve">   232Th</v>
      </c>
      <c r="H1" t="str">
        <f>[1]erg!F1</f>
        <v xml:space="preserve">   Fehler</v>
      </c>
      <c r="I1" t="str">
        <f>[1]erg!G1</f>
        <v>230Th/238U</v>
      </c>
      <c r="J1" t="str">
        <f>[1]erg!H1</f>
        <v>Fehler</v>
      </c>
      <c r="K1" t="str">
        <f>[1]erg!I1</f>
        <v>230Th/232Th</v>
      </c>
      <c r="L1" t="str">
        <f>[1]erg!J1</f>
        <v xml:space="preserve">   Fehler</v>
      </c>
      <c r="M1" t="s">
        <v>101</v>
      </c>
      <c r="N1" t="s">
        <v>51</v>
      </c>
      <c r="O1" t="str">
        <f>[1]erg!Q1</f>
        <v>234U/238U (initial)</v>
      </c>
      <c r="P1" t="str">
        <f>[1]erg!R1</f>
        <v>error</v>
      </c>
      <c r="Q1" t="str">
        <f>[1]erg!M1</f>
        <v>Alter(unkorr.)</v>
      </c>
      <c r="R1" t="str">
        <f>[1]erg!N1</f>
        <v>Fehler</v>
      </c>
      <c r="S1" t="s">
        <v>4</v>
      </c>
      <c r="T1" t="str">
        <f>[1]erg!O1</f>
        <v xml:space="preserve">   Alter(korr.)</v>
      </c>
      <c r="U1" t="str">
        <f>[1]erg!P1</f>
        <v>Fehler</v>
      </c>
      <c r="V1" t="s">
        <v>4</v>
      </c>
      <c r="W1" t="s">
        <v>96</v>
      </c>
      <c r="Y1" t="s">
        <v>97</v>
      </c>
      <c r="AA1" t="s">
        <v>98</v>
      </c>
      <c r="AC1" t="s">
        <v>95</v>
      </c>
    </row>
    <row r="2" spans="1:29" x14ac:dyDescent="0.25">
      <c r="E2" t="str">
        <f>[1]erg!C2</f>
        <v xml:space="preserve">   (ng/g)</v>
      </c>
      <c r="F2" t="str">
        <f>[1]erg!D2</f>
        <v xml:space="preserve">   (abso.)</v>
      </c>
      <c r="G2" t="str">
        <f>[1]erg!E2</f>
        <v xml:space="preserve">  (ng/g)</v>
      </c>
      <c r="H2" t="str">
        <f>[1]erg!F2</f>
        <v xml:space="preserve">    (abso.)</v>
      </c>
      <c r="I2" t="str">
        <f>[1]erg!G2</f>
        <v>(Akt.Ver.)</v>
      </c>
      <c r="J2" t="str">
        <f>[1]erg!H2</f>
        <v>(abso.)</v>
      </c>
      <c r="K2" t="str">
        <f>[1]erg!I2</f>
        <v>(Akt.Ver.)</v>
      </c>
      <c r="L2" t="str">
        <f>[1]erg!J2</f>
        <v xml:space="preserve">    (abso.)</v>
      </c>
      <c r="M2" t="s">
        <v>102</v>
      </c>
      <c r="N2" t="s">
        <v>103</v>
      </c>
      <c r="O2" t="str">
        <f>[1]erg!Q2</f>
        <v>Akt.verh</v>
      </c>
      <c r="P2" t="str">
        <f>[1]erg!R2</f>
        <v xml:space="preserve">(abso.) </v>
      </c>
      <c r="Q2" t="str">
        <f>[1]erg!M2</f>
        <v>(ka)</v>
      </c>
      <c r="R2" t="str">
        <f>[1]erg!N2</f>
        <v>(ka)</v>
      </c>
      <c r="S2" t="s">
        <v>104</v>
      </c>
      <c r="T2" t="str">
        <f>[1]erg!O2</f>
        <v xml:space="preserve">     (ka)</v>
      </c>
      <c r="U2" t="str">
        <f>[1]erg!P2</f>
        <v>(ka)</v>
      </c>
      <c r="V2" t="s">
        <v>104</v>
      </c>
      <c r="W2" t="s">
        <v>99</v>
      </c>
      <c r="Y2" t="s">
        <v>99</v>
      </c>
      <c r="AA2" t="s">
        <v>100</v>
      </c>
    </row>
    <row r="3" spans="1:29" x14ac:dyDescent="0.25">
      <c r="A3">
        <f>results!A10</f>
        <v>9186</v>
      </c>
      <c r="B3">
        <f>results!B10</f>
        <v>0</v>
      </c>
      <c r="C3" t="str">
        <f>Input!H11</f>
        <v>013I9186.exp</v>
      </c>
      <c r="D3">
        <f>Input!E11</f>
        <v>0</v>
      </c>
      <c r="E3">
        <f>results!C10</f>
        <v>13714.293848705162</v>
      </c>
      <c r="F3">
        <f>results!D10</f>
        <v>1.1552460296411753</v>
      </c>
      <c r="G3">
        <f>results!E10</f>
        <v>0.89123403100690024</v>
      </c>
      <c r="H3">
        <f>results!F10</f>
        <v>3.968352272884044E-3</v>
      </c>
      <c r="I3">
        <f>results!G10</f>
        <v>1.0016659822648373</v>
      </c>
      <c r="J3">
        <f>results!H10</f>
        <v>2.3169408650311626E-3</v>
      </c>
      <c r="K3">
        <f>results!I10</f>
        <v>47098.427403883426</v>
      </c>
      <c r="L3">
        <f>results!J10</f>
        <v>236.28844838390143</v>
      </c>
      <c r="M3">
        <f>results!K10</f>
        <v>-3.0426567115811043</v>
      </c>
      <c r="N3">
        <f>results!L10</f>
        <v>1.1140555675288182</v>
      </c>
      <c r="O3" t="e">
        <f>results!Q10</f>
        <v>#VALUE!</v>
      </c>
      <c r="P3" t="e">
        <f>results!R10</f>
        <v>#VALUE!</v>
      </c>
      <c r="Q3" t="str">
        <f>results!M10</f>
        <v>Out of range</v>
      </c>
      <c r="R3" t="e">
        <f>results!N10</f>
        <v>#VALUE!</v>
      </c>
      <c r="S3" t="e">
        <f>R3/Q3</f>
        <v>#VALUE!</v>
      </c>
      <c r="T3" t="str">
        <f>results!O10</f>
        <v>Out of range</v>
      </c>
      <c r="U3">
        <f>results!P10</f>
        <v>0</v>
      </c>
      <c r="V3" t="e">
        <f>U3/T3</f>
        <v>#VALUE!</v>
      </c>
      <c r="W3" t="e">
        <f>((Q3*1000)-YEAR(Input!D11)+1950)/1000</f>
        <v>#VALUE!</v>
      </c>
      <c r="X3" t="e">
        <f>W3*S3</f>
        <v>#VALUE!</v>
      </c>
      <c r="Y3" t="e">
        <f>((T3*1000)-YEAR(Input!D11)+1950)/1000</f>
        <v>#VALUE!</v>
      </c>
      <c r="Z3" t="e">
        <f>V3*Y3</f>
        <v>#VALUE!</v>
      </c>
      <c r="AA3" t="e">
        <f>1950-Y3*1000</f>
        <v>#VALUE!</v>
      </c>
      <c r="AB3">
        <f>U3*1000</f>
        <v>0</v>
      </c>
      <c r="AC3">
        <f>D3</f>
        <v>0</v>
      </c>
    </row>
    <row r="5" spans="1:29" x14ac:dyDescent="0.25">
      <c r="A5" t="e">
        <f>results!A12</f>
        <v>#REF!</v>
      </c>
      <c r="B5" t="e">
        <f>results!B12</f>
        <v>#REF!</v>
      </c>
      <c r="C5" t="e">
        <f>Input!#REF!</f>
        <v>#REF!</v>
      </c>
      <c r="D5" t="e">
        <f>Input!#REF!</f>
        <v>#REF!</v>
      </c>
      <c r="E5">
        <f>results!C12</f>
        <v>13713.787650352884</v>
      </c>
      <c r="F5">
        <f>results!D12</f>
        <v>1.2890967835284211</v>
      </c>
      <c r="G5">
        <f>results!E12</f>
        <v>0.89024052270727971</v>
      </c>
      <c r="H5">
        <f>results!F12</f>
        <v>4.0583529680178016E-3</v>
      </c>
      <c r="I5">
        <f>results!G12</f>
        <v>1.0008774916738097</v>
      </c>
      <c r="J5">
        <f>results!H12</f>
        <v>3.2720427855295621E-3</v>
      </c>
      <c r="K5">
        <f>results!I12</f>
        <v>47112.133980013605</v>
      </c>
      <c r="L5">
        <f>results!J12</f>
        <v>264.25055800603496</v>
      </c>
      <c r="M5">
        <f>results!K12</f>
        <v>-0.82962649847362346</v>
      </c>
      <c r="N5">
        <f>results!L12</f>
        <v>0.98393940157740656</v>
      </c>
      <c r="O5" t="e">
        <f>results!Q12</f>
        <v>#VALUE!</v>
      </c>
      <c r="P5" t="e">
        <f>results!R12</f>
        <v>#VALUE!</v>
      </c>
      <c r="Q5" t="str">
        <f>results!M12</f>
        <v>Out of range</v>
      </c>
      <c r="R5" t="e">
        <f>results!N12</f>
        <v>#VALUE!</v>
      </c>
      <c r="S5" t="e">
        <f>R5/Q5</f>
        <v>#VALUE!</v>
      </c>
      <c r="T5" t="str">
        <f>results!O12</f>
        <v>Out of range</v>
      </c>
      <c r="U5">
        <f>results!P12</f>
        <v>501.8692047028</v>
      </c>
      <c r="V5" t="e">
        <f>U5/T5</f>
        <v>#VALUE!</v>
      </c>
      <c r="W5" t="e">
        <f>((Q5*1000)-YEAR(Input!#REF!)+1950)/1000</f>
        <v>#VALUE!</v>
      </c>
      <c r="X5" t="e">
        <f>W5*S5</f>
        <v>#VALUE!</v>
      </c>
      <c r="Y5" t="e">
        <f>((T5*1000)-YEAR(Input!#REF!)+1950)/1000</f>
        <v>#VALUE!</v>
      </c>
      <c r="Z5" t="e">
        <f>V5*Y5</f>
        <v>#VALUE!</v>
      </c>
      <c r="AA5" t="e">
        <f>1950-Y5*1000</f>
        <v>#VALUE!</v>
      </c>
      <c r="AB5">
        <f>U5*1000</f>
        <v>501869.20470280002</v>
      </c>
      <c r="AC5" t="e">
        <f>D5</f>
        <v>#REF!</v>
      </c>
    </row>
    <row r="7" spans="1:29" x14ac:dyDescent="0.25">
      <c r="A7" t="e">
        <f>results!A14</f>
        <v>#REF!</v>
      </c>
      <c r="B7" t="e">
        <f>results!B14</f>
        <v>#REF!</v>
      </c>
      <c r="C7" t="e">
        <f>Input!#REF!</f>
        <v>#REF!</v>
      </c>
      <c r="D7" t="e">
        <f>Input!#REF!</f>
        <v>#REF!</v>
      </c>
      <c r="E7">
        <f>results!C14</f>
        <v>13712.904477494591</v>
      </c>
      <c r="F7">
        <f>results!D14</f>
        <v>0.93643146528858923</v>
      </c>
      <c r="G7">
        <f>results!E14</f>
        <v>0.88726058649854189</v>
      </c>
      <c r="H7">
        <f>results!F14</f>
        <v>4.1154738641979742E-3</v>
      </c>
      <c r="I7">
        <f>results!G14</f>
        <v>0.99982061037283998</v>
      </c>
      <c r="J7">
        <f>results!H14</f>
        <v>3.1263476180188603E-3</v>
      </c>
      <c r="K7">
        <f>results!I14</f>
        <v>47217.407502829919</v>
      </c>
      <c r="L7">
        <f>results!J14</f>
        <v>264.11247534883961</v>
      </c>
      <c r="M7">
        <f>results!K14</f>
        <v>-1.9547177866948706</v>
      </c>
      <c r="N7">
        <f>results!L14</f>
        <v>0.83575153632138244</v>
      </c>
      <c r="O7" t="e">
        <f>results!Q14</f>
        <v>#VALUE!</v>
      </c>
      <c r="P7" t="e">
        <f>results!R14</f>
        <v>#VALUE!</v>
      </c>
      <c r="Q7" t="str">
        <f>results!M14</f>
        <v>Out of range</v>
      </c>
      <c r="R7" t="e">
        <f>results!N14</f>
        <v>#VALUE!</v>
      </c>
      <c r="S7" t="e">
        <f>R7/Q7</f>
        <v>#VALUE!</v>
      </c>
      <c r="T7" t="str">
        <f>results!O14</f>
        <v>Out of range</v>
      </c>
      <c r="U7">
        <f>results!P14</f>
        <v>338.51356045099999</v>
      </c>
      <c r="V7" t="e">
        <f>U7/T7</f>
        <v>#VALUE!</v>
      </c>
      <c r="W7" t="e">
        <f>((Q7*1000)-YEAR(Input!#REF!)+1950)/1000</f>
        <v>#VALUE!</v>
      </c>
      <c r="X7" t="e">
        <f>W7*S7</f>
        <v>#VALUE!</v>
      </c>
      <c r="Y7" t="e">
        <f>((T7*1000)-YEAR(Input!#REF!)+1950)/1000</f>
        <v>#VALUE!</v>
      </c>
      <c r="Z7" t="e">
        <f>V7*Y7</f>
        <v>#VALUE!</v>
      </c>
      <c r="AA7" t="e">
        <f>1950-Y7*1000</f>
        <v>#VALUE!</v>
      </c>
      <c r="AB7">
        <f>U7*1000</f>
        <v>338513.560451</v>
      </c>
      <c r="AC7" t="e">
        <f>D7</f>
        <v>#REF!</v>
      </c>
    </row>
    <row r="9" spans="1:29" x14ac:dyDescent="0.25">
      <c r="A9" t="e">
        <f>results!A16</f>
        <v>#REF!</v>
      </c>
      <c r="B9" t="e">
        <f>results!B16</f>
        <v>#REF!</v>
      </c>
      <c r="C9" t="e">
        <f>Input!#REF!</f>
        <v>#REF!</v>
      </c>
      <c r="D9" t="e">
        <f>Input!#REF!</f>
        <v>#REF!</v>
      </c>
      <c r="E9" t="e">
        <f>results!C16</f>
        <v>#REF!</v>
      </c>
      <c r="F9" t="e">
        <f>results!D16</f>
        <v>#REF!</v>
      </c>
      <c r="G9" t="e">
        <f>results!E16</f>
        <v>#REF!</v>
      </c>
      <c r="H9" t="e">
        <f>results!F16</f>
        <v>#REF!</v>
      </c>
      <c r="I9" t="e">
        <f>results!G16</f>
        <v>#REF!</v>
      </c>
      <c r="J9" t="e">
        <f>results!H16</f>
        <v>#REF!</v>
      </c>
      <c r="K9" t="e">
        <f>results!I16</f>
        <v>#REF!</v>
      </c>
      <c r="L9" t="e">
        <f>results!J16</f>
        <v>#REF!</v>
      </c>
      <c r="M9" t="e">
        <f>results!K16</f>
        <v>#REF!</v>
      </c>
      <c r="N9" t="e">
        <f>results!L16</f>
        <v>#REF!</v>
      </c>
      <c r="O9" t="e">
        <f>results!Q16</f>
        <v>#REF!</v>
      </c>
      <c r="P9" t="e">
        <f>results!R16</f>
        <v>#REF!</v>
      </c>
      <c r="Q9" t="e">
        <f>results!M16</f>
        <v>#REF!</v>
      </c>
      <c r="R9" t="e">
        <f>results!N16</f>
        <v>#REF!</v>
      </c>
      <c r="S9" t="e">
        <f>R9/Q9</f>
        <v>#REF!</v>
      </c>
      <c r="T9" t="e">
        <f>results!O16</f>
        <v>#REF!</v>
      </c>
      <c r="U9" t="e">
        <f>results!P16</f>
        <v>#REF!</v>
      </c>
      <c r="V9" t="e">
        <f>U9/T9</f>
        <v>#REF!</v>
      </c>
      <c r="W9" t="e">
        <f>((Q9*1000)-YEAR(Input!#REF!)+1950)/1000</f>
        <v>#REF!</v>
      </c>
      <c r="X9" t="e">
        <f>W9*S9</f>
        <v>#REF!</v>
      </c>
      <c r="Y9" t="e">
        <f>((T9*1000)-YEAR(Input!#REF!)+1950)/1000</f>
        <v>#REF!</v>
      </c>
      <c r="Z9" t="e">
        <f>V9*Y9</f>
        <v>#REF!</v>
      </c>
      <c r="AA9" t="e">
        <f>1950-Y9*1000</f>
        <v>#REF!</v>
      </c>
      <c r="AB9" t="e">
        <f>U9*1000</f>
        <v>#REF!</v>
      </c>
      <c r="AC9" t="e">
        <f>D9</f>
        <v>#REF!</v>
      </c>
    </row>
    <row r="11" spans="1:29" x14ac:dyDescent="0.25">
      <c r="A11" t="e">
        <f>results!A18</f>
        <v>#REF!</v>
      </c>
      <c r="B11" t="e">
        <f>results!B18</f>
        <v>#REF!</v>
      </c>
      <c r="C11" t="e">
        <f>Input!#REF!</f>
        <v>#REF!</v>
      </c>
      <c r="D11" t="e">
        <f>Input!#REF!</f>
        <v>#REF!</v>
      </c>
      <c r="E11" t="e">
        <f>results!C18</f>
        <v>#REF!</v>
      </c>
      <c r="F11" t="e">
        <f>results!D18</f>
        <v>#REF!</v>
      </c>
      <c r="G11" t="e">
        <f>results!E18</f>
        <v>#REF!</v>
      </c>
      <c r="H11" t="e">
        <f>results!F18</f>
        <v>#REF!</v>
      </c>
      <c r="I11" t="e">
        <f>results!G18</f>
        <v>#REF!</v>
      </c>
      <c r="J11" t="e">
        <f>results!H18</f>
        <v>#REF!</v>
      </c>
      <c r="K11" t="e">
        <f>results!I18</f>
        <v>#REF!</v>
      </c>
      <c r="L11" t="e">
        <f>results!J18</f>
        <v>#REF!</v>
      </c>
      <c r="M11" t="e">
        <f>results!K18</f>
        <v>#REF!</v>
      </c>
      <c r="N11" t="e">
        <f>results!L18</f>
        <v>#REF!</v>
      </c>
      <c r="O11" t="e">
        <f>results!Q18</f>
        <v>#REF!</v>
      </c>
      <c r="P11" t="e">
        <f>results!R18</f>
        <v>#REF!</v>
      </c>
      <c r="Q11" t="e">
        <f>results!M18</f>
        <v>#REF!</v>
      </c>
      <c r="R11" t="e">
        <f>results!N18</f>
        <v>#REF!</v>
      </c>
      <c r="S11" t="e">
        <f>R11/Q11</f>
        <v>#REF!</v>
      </c>
      <c r="T11" t="e">
        <f>results!O18</f>
        <v>#REF!</v>
      </c>
      <c r="U11" t="e">
        <f>results!P18</f>
        <v>#REF!</v>
      </c>
      <c r="V11" t="e">
        <f>U11/T11</f>
        <v>#REF!</v>
      </c>
      <c r="W11" t="e">
        <f>((Q11*1000)-YEAR(Input!#REF!)+1950)/1000</f>
        <v>#REF!</v>
      </c>
      <c r="X11" t="e">
        <f>W11*S11</f>
        <v>#REF!</v>
      </c>
      <c r="Y11" t="e">
        <f>((T11*1000)-YEAR(Input!#REF!)+1950)/1000</f>
        <v>#REF!</v>
      </c>
      <c r="Z11" t="e">
        <f>V11*Y11</f>
        <v>#REF!</v>
      </c>
      <c r="AA11" t="e">
        <f>1950-Y11*1000</f>
        <v>#REF!</v>
      </c>
      <c r="AB11" t="e">
        <f>U11*1000</f>
        <v>#REF!</v>
      </c>
      <c r="AC11" t="e">
        <f>D11</f>
        <v>#REF!</v>
      </c>
    </row>
    <row r="17" spans="1:29" x14ac:dyDescent="0.25">
      <c r="A17" t="e">
        <f>results!A24</f>
        <v>#REF!</v>
      </c>
      <c r="B17" t="e">
        <f>results!B24</f>
        <v>#REF!</v>
      </c>
      <c r="C17" t="e">
        <f>Input!#REF!</f>
        <v>#REF!</v>
      </c>
      <c r="D17" t="e">
        <f>Input!#REF!</f>
        <v>#REF!</v>
      </c>
      <c r="E17" t="e">
        <f>results!C24</f>
        <v>#REF!</v>
      </c>
      <c r="F17" t="e">
        <f>results!D24</f>
        <v>#REF!</v>
      </c>
      <c r="G17" t="e">
        <f>results!E24</f>
        <v>#REF!</v>
      </c>
      <c r="H17" t="e">
        <f>results!F24</f>
        <v>#REF!</v>
      </c>
      <c r="I17" t="e">
        <f>results!G24</f>
        <v>#REF!</v>
      </c>
      <c r="J17" t="e">
        <f>results!H24</f>
        <v>#REF!</v>
      </c>
      <c r="K17" t="e">
        <f>results!I24</f>
        <v>#REF!</v>
      </c>
      <c r="L17" t="e">
        <f>results!J24</f>
        <v>#REF!</v>
      </c>
      <c r="M17" t="e">
        <f>results!K24</f>
        <v>#REF!</v>
      </c>
      <c r="N17" t="e">
        <f>results!L24</f>
        <v>#REF!</v>
      </c>
      <c r="O17" t="e">
        <f>results!Q24</f>
        <v>#REF!</v>
      </c>
      <c r="P17" t="e">
        <f>results!R24</f>
        <v>#REF!</v>
      </c>
      <c r="Q17" t="e">
        <f>results!M24</f>
        <v>#REF!</v>
      </c>
      <c r="R17" t="e">
        <f>results!N24</f>
        <v>#REF!</v>
      </c>
      <c r="S17" t="e">
        <f>R17/Q17</f>
        <v>#REF!</v>
      </c>
      <c r="T17" t="e">
        <f>results!O24</f>
        <v>#REF!</v>
      </c>
      <c r="U17" t="e">
        <f>results!P24</f>
        <v>#REF!</v>
      </c>
      <c r="V17" t="e">
        <f>U17/T17</f>
        <v>#REF!</v>
      </c>
      <c r="W17" t="e">
        <f>((Q17*1000)-YEAR(Input!#REF!)+1950)/1000</f>
        <v>#REF!</v>
      </c>
      <c r="X17" t="e">
        <f>W17*S17</f>
        <v>#REF!</v>
      </c>
      <c r="Y17" t="e">
        <f>((T17*1000)-YEAR(Input!#REF!)+1950)/1000</f>
        <v>#REF!</v>
      </c>
      <c r="Z17" t="e">
        <f>V17*Y17</f>
        <v>#REF!</v>
      </c>
      <c r="AA17" t="e">
        <f>1950-Y17*1000</f>
        <v>#REF!</v>
      </c>
      <c r="AB17" t="e">
        <f>U17*1000</f>
        <v>#REF!</v>
      </c>
      <c r="AC17" t="e">
        <f>D17</f>
        <v>#REF!</v>
      </c>
    </row>
    <row r="19" spans="1:29" x14ac:dyDescent="0.25">
      <c r="A19" t="e">
        <f>results!A26</f>
        <v>#REF!</v>
      </c>
      <c r="B19" t="e">
        <f>results!B26</f>
        <v>#REF!</v>
      </c>
      <c r="C19" t="e">
        <f>Input!#REF!</f>
        <v>#REF!</v>
      </c>
      <c r="D19" t="e">
        <f>Input!#REF!</f>
        <v>#REF!</v>
      </c>
      <c r="E19" t="e">
        <f>results!C26</f>
        <v>#REF!</v>
      </c>
      <c r="F19" t="e">
        <f>results!D26</f>
        <v>#REF!</v>
      </c>
      <c r="G19" t="e">
        <f>results!E26</f>
        <v>#REF!</v>
      </c>
      <c r="H19" t="e">
        <f>results!F26</f>
        <v>#REF!</v>
      </c>
      <c r="I19" t="e">
        <f>results!G26</f>
        <v>#REF!</v>
      </c>
      <c r="J19" t="e">
        <f>results!H26</f>
        <v>#REF!</v>
      </c>
      <c r="K19" t="e">
        <f>results!I26</f>
        <v>#REF!</v>
      </c>
      <c r="L19" t="e">
        <f>results!J26</f>
        <v>#REF!</v>
      </c>
      <c r="M19" t="e">
        <f>results!K26</f>
        <v>#REF!</v>
      </c>
      <c r="N19" t="e">
        <f>results!L26</f>
        <v>#REF!</v>
      </c>
      <c r="O19" t="e">
        <f>results!Q26</f>
        <v>#REF!</v>
      </c>
      <c r="P19" t="e">
        <f>results!R26</f>
        <v>#REF!</v>
      </c>
      <c r="Q19" t="e">
        <f>results!M26</f>
        <v>#REF!</v>
      </c>
      <c r="R19" t="e">
        <f>results!N26</f>
        <v>#REF!</v>
      </c>
      <c r="S19" t="e">
        <f>R19/Q19</f>
        <v>#REF!</v>
      </c>
      <c r="T19" t="e">
        <f>results!O26</f>
        <v>#REF!</v>
      </c>
      <c r="U19" t="e">
        <f>results!P26</f>
        <v>#REF!</v>
      </c>
      <c r="V19" t="e">
        <f>U19/T19</f>
        <v>#REF!</v>
      </c>
      <c r="W19" t="e">
        <f>((Q19*1000)-YEAR(Input!#REF!)+1950)/1000</f>
        <v>#REF!</v>
      </c>
      <c r="X19" t="e">
        <f>W19*S19</f>
        <v>#REF!</v>
      </c>
      <c r="Y19" t="e">
        <f>((T19*1000)-YEAR(Input!#REF!)+1950)/1000</f>
        <v>#REF!</v>
      </c>
      <c r="Z19" t="e">
        <f>V19*Y19</f>
        <v>#REF!</v>
      </c>
      <c r="AA19" t="e">
        <f>1950-Y19*1000</f>
        <v>#REF!</v>
      </c>
      <c r="AB19" t="e">
        <f>U19*1000</f>
        <v>#REF!</v>
      </c>
      <c r="AC19" t="e">
        <f>D19</f>
        <v>#REF!</v>
      </c>
    </row>
    <row r="21" spans="1:29" x14ac:dyDescent="0.25">
      <c r="A21" t="e">
        <f>results!A28</f>
        <v>#REF!</v>
      </c>
      <c r="B21" t="e">
        <f>results!B28</f>
        <v>#REF!</v>
      </c>
      <c r="C21" t="e">
        <f>Input!#REF!</f>
        <v>#REF!</v>
      </c>
      <c r="D21" t="e">
        <f>Input!#REF!</f>
        <v>#REF!</v>
      </c>
      <c r="E21" t="e">
        <f>results!C28</f>
        <v>#REF!</v>
      </c>
      <c r="F21" t="e">
        <f>results!D28</f>
        <v>#REF!</v>
      </c>
      <c r="G21" t="e">
        <f>results!E28</f>
        <v>#REF!</v>
      </c>
      <c r="H21" t="e">
        <f>results!F28</f>
        <v>#REF!</v>
      </c>
      <c r="I21" t="e">
        <f>results!G28</f>
        <v>#REF!</v>
      </c>
      <c r="J21" t="e">
        <f>results!H28</f>
        <v>#REF!</v>
      </c>
      <c r="K21" t="e">
        <f>results!I28</f>
        <v>#REF!</v>
      </c>
      <c r="L21" t="e">
        <f>results!J28</f>
        <v>#REF!</v>
      </c>
      <c r="M21" t="e">
        <f>results!K28</f>
        <v>#REF!</v>
      </c>
      <c r="N21" t="e">
        <f>results!L28</f>
        <v>#REF!</v>
      </c>
      <c r="O21" t="e">
        <f>results!Q28</f>
        <v>#REF!</v>
      </c>
      <c r="P21" t="e">
        <f>results!R28</f>
        <v>#REF!</v>
      </c>
      <c r="Q21" t="e">
        <f>results!M28</f>
        <v>#REF!</v>
      </c>
      <c r="R21" t="e">
        <f>results!N28</f>
        <v>#REF!</v>
      </c>
      <c r="S21" t="e">
        <f>R21/Q21</f>
        <v>#REF!</v>
      </c>
      <c r="T21" t="e">
        <f>results!O28</f>
        <v>#REF!</v>
      </c>
      <c r="U21" t="e">
        <f>results!P28</f>
        <v>#REF!</v>
      </c>
      <c r="V21" t="e">
        <f>U21/T21</f>
        <v>#REF!</v>
      </c>
      <c r="W21" t="e">
        <f>((Q21*1000)-YEAR(Input!#REF!)+1950)/1000</f>
        <v>#REF!</v>
      </c>
      <c r="X21" t="e">
        <f>W21*S21</f>
        <v>#REF!</v>
      </c>
      <c r="Y21" t="e">
        <f>((T21*1000)-YEAR(Input!#REF!)+1950)/1000</f>
        <v>#REF!</v>
      </c>
      <c r="Z21" t="e">
        <f>V21*Y21</f>
        <v>#REF!</v>
      </c>
      <c r="AA21" t="e">
        <f>1950-Y21*1000</f>
        <v>#REF!</v>
      </c>
      <c r="AB21" t="e">
        <f>U21*1000</f>
        <v>#REF!</v>
      </c>
      <c r="AC21" t="e">
        <f>D21</f>
        <v>#REF!</v>
      </c>
    </row>
    <row r="23" spans="1:29" x14ac:dyDescent="0.25">
      <c r="A23" t="e">
        <f>results!A30</f>
        <v>#REF!</v>
      </c>
      <c r="B23" t="e">
        <f>results!B30</f>
        <v>#REF!</v>
      </c>
      <c r="C23" t="e">
        <f>Input!#REF!</f>
        <v>#REF!</v>
      </c>
      <c r="D23" t="e">
        <f>Input!#REF!</f>
        <v>#REF!</v>
      </c>
      <c r="E23" t="e">
        <f>results!C30</f>
        <v>#REF!</v>
      </c>
      <c r="F23" t="e">
        <f>results!D30</f>
        <v>#REF!</v>
      </c>
      <c r="G23" t="e">
        <f>results!E30</f>
        <v>#REF!</v>
      </c>
      <c r="H23" t="e">
        <f>results!F30</f>
        <v>#REF!</v>
      </c>
      <c r="I23" t="e">
        <f>results!G30</f>
        <v>#REF!</v>
      </c>
      <c r="J23" t="e">
        <f>results!H30</f>
        <v>#REF!</v>
      </c>
      <c r="K23" t="e">
        <f>results!I30</f>
        <v>#REF!</v>
      </c>
      <c r="L23" t="e">
        <f>results!J30</f>
        <v>#REF!</v>
      </c>
      <c r="M23" t="e">
        <f>results!K30</f>
        <v>#REF!</v>
      </c>
      <c r="N23" t="e">
        <f>results!L30</f>
        <v>#REF!</v>
      </c>
      <c r="O23" t="e">
        <f>results!Q30</f>
        <v>#REF!</v>
      </c>
      <c r="P23" t="e">
        <f>results!R30</f>
        <v>#REF!</v>
      </c>
      <c r="Q23" t="e">
        <f>results!M30</f>
        <v>#REF!</v>
      </c>
      <c r="R23" t="e">
        <f>results!N30</f>
        <v>#REF!</v>
      </c>
      <c r="S23" t="e">
        <f>R23/Q23</f>
        <v>#REF!</v>
      </c>
      <c r="T23" t="e">
        <f>results!O30</f>
        <v>#REF!</v>
      </c>
      <c r="U23" t="e">
        <f>results!P30</f>
        <v>#REF!</v>
      </c>
      <c r="V23" t="e">
        <f>U23/T23</f>
        <v>#REF!</v>
      </c>
      <c r="W23" t="e">
        <f>((Q23*1000)-YEAR(Input!#REF!)+1950)/1000</f>
        <v>#REF!</v>
      </c>
      <c r="X23" t="e">
        <f>W23*S23</f>
        <v>#REF!</v>
      </c>
      <c r="Y23" t="e">
        <f>((T23*1000)-YEAR(Input!#REF!)+1950)/1000</f>
        <v>#REF!</v>
      </c>
      <c r="Z23" t="e">
        <f>V23*Y23</f>
        <v>#REF!</v>
      </c>
      <c r="AA23" t="e">
        <f>1950-Y23*1000</f>
        <v>#REF!</v>
      </c>
      <c r="AB23" t="e">
        <f>U23*1000</f>
        <v>#REF!</v>
      </c>
      <c r="AC23" t="e">
        <f>D23</f>
        <v>#REF!</v>
      </c>
    </row>
    <row r="25" spans="1:29" x14ac:dyDescent="0.25">
      <c r="A25" t="e">
        <f>results!A32</f>
        <v>#REF!</v>
      </c>
      <c r="B25" t="e">
        <f>results!B32</f>
        <v>#REF!</v>
      </c>
      <c r="C25" t="e">
        <f>Input!#REF!</f>
        <v>#REF!</v>
      </c>
      <c r="D25" t="e">
        <f>Input!#REF!</f>
        <v>#REF!</v>
      </c>
      <c r="E25" t="e">
        <f>results!C32</f>
        <v>#REF!</v>
      </c>
      <c r="F25" t="e">
        <f>results!D32</f>
        <v>#REF!</v>
      </c>
      <c r="G25" t="e">
        <f>results!E32</f>
        <v>#REF!</v>
      </c>
      <c r="H25" t="e">
        <f>results!F32</f>
        <v>#REF!</v>
      </c>
      <c r="I25" t="e">
        <f>results!G32</f>
        <v>#REF!</v>
      </c>
      <c r="J25" t="e">
        <f>results!H32</f>
        <v>#REF!</v>
      </c>
      <c r="K25" t="e">
        <f>results!I32</f>
        <v>#REF!</v>
      </c>
      <c r="L25" t="e">
        <f>results!J32</f>
        <v>#REF!</v>
      </c>
      <c r="M25" t="e">
        <f>results!K32</f>
        <v>#REF!</v>
      </c>
      <c r="N25" t="e">
        <f>results!L32</f>
        <v>#REF!</v>
      </c>
      <c r="O25" t="e">
        <f>results!Q32</f>
        <v>#REF!</v>
      </c>
      <c r="P25" t="e">
        <f>results!R32</f>
        <v>#REF!</v>
      </c>
      <c r="Q25" t="e">
        <f>results!M32</f>
        <v>#REF!</v>
      </c>
      <c r="R25" t="e">
        <f>results!N32</f>
        <v>#REF!</v>
      </c>
      <c r="S25" t="e">
        <f>R25/Q25</f>
        <v>#REF!</v>
      </c>
      <c r="T25" t="e">
        <f>results!O32</f>
        <v>#REF!</v>
      </c>
      <c r="U25" t="e">
        <f>results!P32</f>
        <v>#REF!</v>
      </c>
      <c r="V25" t="e">
        <f>U25/T25</f>
        <v>#REF!</v>
      </c>
      <c r="W25" t="e">
        <f>((Q25*1000)-YEAR(Input!#REF!)+1950)/1000</f>
        <v>#REF!</v>
      </c>
      <c r="X25" t="e">
        <f>W25*S25</f>
        <v>#REF!</v>
      </c>
      <c r="Y25" t="e">
        <f>((T25*1000)-YEAR(Input!#REF!)+1950)/1000</f>
        <v>#REF!</v>
      </c>
      <c r="Z25" t="e">
        <f>V25*Y25</f>
        <v>#REF!</v>
      </c>
      <c r="AA25" t="e">
        <f>1950-Y25*1000</f>
        <v>#REF!</v>
      </c>
      <c r="AB25" t="e">
        <f>U25*1000</f>
        <v>#REF!</v>
      </c>
      <c r="AC25" t="e">
        <f>D25</f>
        <v>#REF!</v>
      </c>
    </row>
    <row r="27" spans="1:29" x14ac:dyDescent="0.25">
      <c r="A27" t="e">
        <f>results!A34</f>
        <v>#REF!</v>
      </c>
      <c r="B27" t="e">
        <f>results!B34</f>
        <v>#REF!</v>
      </c>
      <c r="C27" t="e">
        <f>Input!#REF!</f>
        <v>#REF!</v>
      </c>
      <c r="D27" t="e">
        <f>Input!#REF!</f>
        <v>#REF!</v>
      </c>
      <c r="E27" t="e">
        <f>results!C34</f>
        <v>#REF!</v>
      </c>
      <c r="F27" t="e">
        <f>results!D34</f>
        <v>#REF!</v>
      </c>
      <c r="G27" t="e">
        <f>results!E34</f>
        <v>#REF!</v>
      </c>
      <c r="H27" t="e">
        <f>results!F34</f>
        <v>#REF!</v>
      </c>
      <c r="I27" t="e">
        <f>results!G34</f>
        <v>#REF!</v>
      </c>
      <c r="J27" t="e">
        <f>results!H34</f>
        <v>#REF!</v>
      </c>
      <c r="K27" t="e">
        <f>results!I34</f>
        <v>#REF!</v>
      </c>
      <c r="L27" t="e">
        <f>results!J34</f>
        <v>#REF!</v>
      </c>
      <c r="M27" t="e">
        <f>results!K34</f>
        <v>#REF!</v>
      </c>
      <c r="N27" t="e">
        <f>results!L34</f>
        <v>#REF!</v>
      </c>
      <c r="O27" t="e">
        <f>results!Q34</f>
        <v>#REF!</v>
      </c>
      <c r="P27" t="e">
        <f>results!R34</f>
        <v>#REF!</v>
      </c>
      <c r="Q27" t="e">
        <f>results!M34</f>
        <v>#REF!</v>
      </c>
      <c r="R27" t="e">
        <f>results!N34</f>
        <v>#REF!</v>
      </c>
      <c r="S27" t="e">
        <f>R27/Q27</f>
        <v>#REF!</v>
      </c>
      <c r="T27" t="e">
        <f>results!O34</f>
        <v>#REF!</v>
      </c>
      <c r="U27" t="e">
        <f>results!P34</f>
        <v>#REF!</v>
      </c>
      <c r="V27" t="e">
        <f>U27/T27</f>
        <v>#REF!</v>
      </c>
      <c r="W27" t="e">
        <f>((Q27*1000)-YEAR(Input!#REF!)+1950)/1000</f>
        <v>#REF!</v>
      </c>
      <c r="X27" t="e">
        <f>W27*S27</f>
        <v>#REF!</v>
      </c>
      <c r="Y27" t="e">
        <f>((T27*1000)-YEAR(Input!#REF!)+1950)/1000</f>
        <v>#REF!</v>
      </c>
      <c r="Z27" t="e">
        <f>V27*Y27</f>
        <v>#REF!</v>
      </c>
      <c r="AA27" t="e">
        <f>1950-Y27*1000</f>
        <v>#REF!</v>
      </c>
      <c r="AB27" t="e">
        <f>U27*1000</f>
        <v>#REF!</v>
      </c>
      <c r="AC27" t="e">
        <f>D27</f>
        <v>#REF!</v>
      </c>
    </row>
    <row r="29" spans="1:29" x14ac:dyDescent="0.25">
      <c r="A29" t="e">
        <f>results!A36</f>
        <v>#REF!</v>
      </c>
      <c r="B29" t="e">
        <f>results!B36</f>
        <v>#REF!</v>
      </c>
      <c r="C29" t="e">
        <f>Input!#REF!</f>
        <v>#REF!</v>
      </c>
      <c r="D29" t="e">
        <f>Input!#REF!</f>
        <v>#REF!</v>
      </c>
      <c r="E29" t="e">
        <f>results!C36</f>
        <v>#REF!</v>
      </c>
      <c r="F29" t="e">
        <f>results!D36</f>
        <v>#REF!</v>
      </c>
      <c r="G29" t="e">
        <f>results!E36</f>
        <v>#REF!</v>
      </c>
      <c r="H29" t="e">
        <f>results!F36</f>
        <v>#REF!</v>
      </c>
      <c r="I29" t="e">
        <f>results!G36</f>
        <v>#REF!</v>
      </c>
      <c r="J29" t="e">
        <f>results!H36</f>
        <v>#REF!</v>
      </c>
      <c r="K29" t="e">
        <f>results!I36</f>
        <v>#REF!</v>
      </c>
      <c r="L29" t="e">
        <f>results!J36</f>
        <v>#REF!</v>
      </c>
      <c r="M29" t="e">
        <f>results!K36</f>
        <v>#REF!</v>
      </c>
      <c r="N29" t="e">
        <f>results!L36</f>
        <v>#REF!</v>
      </c>
      <c r="O29" t="e">
        <f>results!Q36</f>
        <v>#REF!</v>
      </c>
      <c r="P29" t="e">
        <f>results!R36</f>
        <v>#REF!</v>
      </c>
      <c r="Q29" t="e">
        <f>results!M36</f>
        <v>#REF!</v>
      </c>
      <c r="R29" t="e">
        <f>results!N36</f>
        <v>#REF!</v>
      </c>
      <c r="S29" t="e">
        <f>R29/Q29</f>
        <v>#REF!</v>
      </c>
      <c r="T29" t="e">
        <f>results!O36</f>
        <v>#REF!</v>
      </c>
      <c r="U29" t="e">
        <f>results!P36</f>
        <v>#REF!</v>
      </c>
      <c r="V29" t="e">
        <f>U29/T29</f>
        <v>#REF!</v>
      </c>
      <c r="W29" t="e">
        <f>((Q29*1000)-YEAR(Input!#REF!)+1950)/1000</f>
        <v>#REF!</v>
      </c>
      <c r="X29" t="e">
        <f>W29*S29</f>
        <v>#REF!</v>
      </c>
      <c r="Y29" t="e">
        <f>((T29*1000)-YEAR(Input!#REF!)+1950)/1000</f>
        <v>#REF!</v>
      </c>
      <c r="Z29" t="e">
        <f>V29*Y29</f>
        <v>#REF!</v>
      </c>
      <c r="AA29" t="e">
        <f>1950-Y29*1000</f>
        <v>#REF!</v>
      </c>
      <c r="AB29" t="e">
        <f>U29*1000</f>
        <v>#REF!</v>
      </c>
      <c r="AC29" t="e">
        <f>D29</f>
        <v>#REF!</v>
      </c>
    </row>
    <row r="31" spans="1:29" x14ac:dyDescent="0.25">
      <c r="A31" t="e">
        <f>results!A38</f>
        <v>#REF!</v>
      </c>
      <c r="B31" t="e">
        <f>results!B38</f>
        <v>#REF!</v>
      </c>
      <c r="C31" t="e">
        <f>Input!#REF!</f>
        <v>#REF!</v>
      </c>
      <c r="D31" t="e">
        <f>Input!#REF!</f>
        <v>#REF!</v>
      </c>
      <c r="E31" t="e">
        <f>results!C38</f>
        <v>#REF!</v>
      </c>
      <c r="F31" t="e">
        <f>results!D38</f>
        <v>#REF!</v>
      </c>
      <c r="G31" t="e">
        <f>results!E38</f>
        <v>#REF!</v>
      </c>
      <c r="H31" t="e">
        <f>results!F38</f>
        <v>#REF!</v>
      </c>
      <c r="I31" t="e">
        <f>results!G38</f>
        <v>#REF!</v>
      </c>
      <c r="J31" t="e">
        <f>results!H38</f>
        <v>#REF!</v>
      </c>
      <c r="K31" t="e">
        <f>results!I38</f>
        <v>#REF!</v>
      </c>
      <c r="L31" t="e">
        <f>results!J38</f>
        <v>#REF!</v>
      </c>
      <c r="M31" t="e">
        <f>results!K38</f>
        <v>#REF!</v>
      </c>
      <c r="N31" t="e">
        <f>results!L38</f>
        <v>#REF!</v>
      </c>
      <c r="O31" t="e">
        <f>results!Q38</f>
        <v>#REF!</v>
      </c>
      <c r="P31" t="e">
        <f>results!R38</f>
        <v>#REF!</v>
      </c>
      <c r="Q31" t="e">
        <f>results!M38</f>
        <v>#REF!</v>
      </c>
      <c r="R31" t="e">
        <f>results!N38</f>
        <v>#REF!</v>
      </c>
      <c r="S31" t="e">
        <f>R31/Q31</f>
        <v>#REF!</v>
      </c>
      <c r="T31" t="e">
        <f>results!O38</f>
        <v>#REF!</v>
      </c>
      <c r="U31" t="e">
        <f>results!P38</f>
        <v>#REF!</v>
      </c>
      <c r="V31" t="e">
        <f>U31/T31</f>
        <v>#REF!</v>
      </c>
      <c r="W31" t="e">
        <f>((Q31*1000)-YEAR(Input!#REF!)+1950)/1000</f>
        <v>#REF!</v>
      </c>
      <c r="X31" t="e">
        <f>W31*S31</f>
        <v>#REF!</v>
      </c>
      <c r="Y31" t="e">
        <f>((T31*1000)-YEAR(Input!#REF!)+1950)/1000</f>
        <v>#REF!</v>
      </c>
      <c r="Z31" t="e">
        <f>V31*Y31</f>
        <v>#REF!</v>
      </c>
      <c r="AA31" t="e">
        <f>1950-Y31*1000</f>
        <v>#REF!</v>
      </c>
      <c r="AB31" t="e">
        <f>U31*1000</f>
        <v>#REF!</v>
      </c>
      <c r="AC31" t="e">
        <f>D31</f>
        <v>#REF!</v>
      </c>
    </row>
    <row r="33" spans="1:29" x14ac:dyDescent="0.25">
      <c r="A33" t="e">
        <f>results!A40</f>
        <v>#REF!</v>
      </c>
      <c r="B33" t="e">
        <f>results!B40</f>
        <v>#REF!</v>
      </c>
      <c r="C33" t="e">
        <f>Input!#REF!</f>
        <v>#REF!</v>
      </c>
      <c r="D33" t="e">
        <f>Input!#REF!</f>
        <v>#REF!</v>
      </c>
      <c r="E33" t="e">
        <f>results!C40</f>
        <v>#REF!</v>
      </c>
      <c r="F33" t="e">
        <f>results!D40</f>
        <v>#REF!</v>
      </c>
      <c r="G33" t="e">
        <f>results!E40</f>
        <v>#REF!</v>
      </c>
      <c r="H33" t="e">
        <f>results!F40</f>
        <v>#REF!</v>
      </c>
      <c r="I33" t="e">
        <f>results!G40</f>
        <v>#REF!</v>
      </c>
      <c r="J33" t="e">
        <f>results!H40</f>
        <v>#REF!</v>
      </c>
      <c r="K33" t="e">
        <f>results!I40</f>
        <v>#REF!</v>
      </c>
      <c r="L33" t="e">
        <f>results!J40</f>
        <v>#REF!</v>
      </c>
      <c r="M33" t="e">
        <f>results!K40</f>
        <v>#REF!</v>
      </c>
      <c r="N33" t="e">
        <f>results!L40</f>
        <v>#REF!</v>
      </c>
      <c r="O33" t="e">
        <f>results!Q40</f>
        <v>#REF!</v>
      </c>
      <c r="P33" t="e">
        <f>results!R40</f>
        <v>#REF!</v>
      </c>
      <c r="Q33" t="e">
        <f>results!M40</f>
        <v>#REF!</v>
      </c>
      <c r="R33" t="e">
        <f>results!N40</f>
        <v>#REF!</v>
      </c>
      <c r="S33" t="e">
        <f>R33/Q33</f>
        <v>#REF!</v>
      </c>
      <c r="T33" t="e">
        <f>results!O40</f>
        <v>#REF!</v>
      </c>
      <c r="U33" t="e">
        <f>results!P40</f>
        <v>#REF!</v>
      </c>
      <c r="V33" t="e">
        <f>U33/T33</f>
        <v>#REF!</v>
      </c>
      <c r="W33" t="e">
        <f>((Q33*1000)-YEAR(Input!#REF!)+1950)/1000</f>
        <v>#REF!</v>
      </c>
      <c r="X33" t="e">
        <f>W33*S33</f>
        <v>#REF!</v>
      </c>
      <c r="Y33" t="e">
        <f>((T33*1000)-YEAR(Input!#REF!)+1950)/1000</f>
        <v>#REF!</v>
      </c>
      <c r="Z33" t="e">
        <f>V33*Y33</f>
        <v>#REF!</v>
      </c>
      <c r="AA33" t="e">
        <f>1950-Y33*1000</f>
        <v>#REF!</v>
      </c>
      <c r="AB33" t="e">
        <f>U33*1000</f>
        <v>#REF!</v>
      </c>
      <c r="AC33" t="e">
        <f>D33</f>
        <v>#REF!</v>
      </c>
    </row>
    <row r="35" spans="1:29" x14ac:dyDescent="0.25">
      <c r="A35" t="e">
        <f>results!A42</f>
        <v>#REF!</v>
      </c>
      <c r="B35" t="e">
        <f>results!B42</f>
        <v>#REF!</v>
      </c>
      <c r="C35" t="e">
        <f>Input!#REF!</f>
        <v>#REF!</v>
      </c>
      <c r="D35" t="e">
        <f>Input!#REF!</f>
        <v>#REF!</v>
      </c>
      <c r="E35" t="e">
        <f>results!C42</f>
        <v>#REF!</v>
      </c>
      <c r="F35" t="e">
        <f>results!D42</f>
        <v>#REF!</v>
      </c>
      <c r="G35" t="e">
        <f>results!E42</f>
        <v>#REF!</v>
      </c>
      <c r="H35" t="e">
        <f>results!F42</f>
        <v>#REF!</v>
      </c>
      <c r="I35" t="e">
        <f>results!G42</f>
        <v>#REF!</v>
      </c>
      <c r="J35" t="e">
        <f>results!H42</f>
        <v>#REF!</v>
      </c>
      <c r="K35" t="e">
        <f>results!I42</f>
        <v>#REF!</v>
      </c>
      <c r="L35" t="e">
        <f>results!J42</f>
        <v>#REF!</v>
      </c>
      <c r="M35" t="e">
        <f>results!K42</f>
        <v>#REF!</v>
      </c>
      <c r="N35" t="e">
        <f>results!L42</f>
        <v>#REF!</v>
      </c>
      <c r="O35" t="e">
        <f>results!Q42</f>
        <v>#REF!</v>
      </c>
      <c r="P35" t="e">
        <f>results!R42</f>
        <v>#REF!</v>
      </c>
      <c r="Q35" t="e">
        <f>results!M42</f>
        <v>#REF!</v>
      </c>
      <c r="R35" t="e">
        <f>results!N42</f>
        <v>#REF!</v>
      </c>
      <c r="S35" t="e">
        <f>R35/Q35</f>
        <v>#REF!</v>
      </c>
      <c r="T35" t="e">
        <f>results!O42</f>
        <v>#REF!</v>
      </c>
      <c r="U35" t="e">
        <f>results!P42</f>
        <v>#REF!</v>
      </c>
      <c r="V35" t="e">
        <f>U35/T35</f>
        <v>#REF!</v>
      </c>
      <c r="W35" t="e">
        <f>((Q35*1000)-YEAR(Input!#REF!)+1950)/1000</f>
        <v>#REF!</v>
      </c>
      <c r="X35" t="e">
        <f>W35*S35</f>
        <v>#REF!</v>
      </c>
      <c r="Y35" t="e">
        <f>((T35*1000)-YEAR(Input!#REF!)+1950)/1000</f>
        <v>#REF!</v>
      </c>
      <c r="Z35" t="e">
        <f>V35*Y35</f>
        <v>#REF!</v>
      </c>
      <c r="AA35" t="e">
        <f>1950-Y35*1000</f>
        <v>#REF!</v>
      </c>
      <c r="AB35" t="e">
        <f>U35*1000</f>
        <v>#REF!</v>
      </c>
      <c r="AC35" t="e">
        <f>D35</f>
        <v>#REF!</v>
      </c>
    </row>
    <row r="37" spans="1:29" x14ac:dyDescent="0.25">
      <c r="A37" t="e">
        <f>results!A44</f>
        <v>#REF!</v>
      </c>
      <c r="B37" t="e">
        <f>results!B44</f>
        <v>#REF!</v>
      </c>
      <c r="C37" t="e">
        <f>Input!#REF!</f>
        <v>#REF!</v>
      </c>
      <c r="D37" t="e">
        <f>Input!#REF!</f>
        <v>#REF!</v>
      </c>
      <c r="E37" t="e">
        <f>results!C44</f>
        <v>#REF!</v>
      </c>
      <c r="F37" t="e">
        <f>results!D44</f>
        <v>#REF!</v>
      </c>
      <c r="G37" t="e">
        <f>results!E44</f>
        <v>#REF!</v>
      </c>
      <c r="H37" t="e">
        <f>results!F44</f>
        <v>#REF!</v>
      </c>
      <c r="I37" t="e">
        <f>results!G44</f>
        <v>#REF!</v>
      </c>
      <c r="J37" t="e">
        <f>results!H44</f>
        <v>#REF!</v>
      </c>
      <c r="K37" t="e">
        <f>results!I44</f>
        <v>#REF!</v>
      </c>
      <c r="L37" t="e">
        <f>results!J44</f>
        <v>#REF!</v>
      </c>
      <c r="M37" t="e">
        <f>results!K44</f>
        <v>#REF!</v>
      </c>
      <c r="N37" t="e">
        <f>results!L44</f>
        <v>#REF!</v>
      </c>
      <c r="O37" t="e">
        <f>results!Q44</f>
        <v>#REF!</v>
      </c>
      <c r="P37" t="e">
        <f>results!R44</f>
        <v>#REF!</v>
      </c>
      <c r="Q37" t="e">
        <f>results!M44</f>
        <v>#REF!</v>
      </c>
      <c r="R37" t="e">
        <f>results!N44</f>
        <v>#REF!</v>
      </c>
      <c r="S37" t="e">
        <f>R37/Q37</f>
        <v>#REF!</v>
      </c>
      <c r="T37" t="e">
        <f>results!O44</f>
        <v>#REF!</v>
      </c>
      <c r="U37" t="e">
        <f>results!P44</f>
        <v>#REF!</v>
      </c>
      <c r="V37" t="e">
        <f>U37/T37</f>
        <v>#REF!</v>
      </c>
      <c r="W37" t="e">
        <f>((Q37*1000)-YEAR(Input!#REF!)+1950)/1000</f>
        <v>#REF!</v>
      </c>
      <c r="X37" t="e">
        <f>W37*S37</f>
        <v>#REF!</v>
      </c>
      <c r="Y37" t="e">
        <f>((T37*1000)-YEAR(Input!#REF!)+1950)/1000</f>
        <v>#REF!</v>
      </c>
      <c r="Z37" t="e">
        <f>V37*Y37</f>
        <v>#REF!</v>
      </c>
      <c r="AA37" t="e">
        <f>1950-Y37*1000</f>
        <v>#REF!</v>
      </c>
      <c r="AB37" t="e">
        <f>U37*1000</f>
        <v>#REF!</v>
      </c>
      <c r="AC37" t="e">
        <f>D37</f>
        <v>#REF!</v>
      </c>
    </row>
    <row r="39" spans="1:29" x14ac:dyDescent="0.25">
      <c r="A39" t="e">
        <f>results!A46</f>
        <v>#REF!</v>
      </c>
      <c r="B39" t="e">
        <f>results!B46</f>
        <v>#REF!</v>
      </c>
      <c r="C39" t="e">
        <f>Input!#REF!</f>
        <v>#REF!</v>
      </c>
      <c r="D39" t="e">
        <f>Input!#REF!</f>
        <v>#REF!</v>
      </c>
      <c r="E39" t="e">
        <f>results!C46</f>
        <v>#REF!</v>
      </c>
      <c r="F39" t="e">
        <f>results!D46</f>
        <v>#REF!</v>
      </c>
      <c r="G39" t="e">
        <f>results!E46</f>
        <v>#REF!</v>
      </c>
      <c r="H39" t="e">
        <f>results!F46</f>
        <v>#REF!</v>
      </c>
      <c r="I39" t="e">
        <f>results!G46</f>
        <v>#REF!</v>
      </c>
      <c r="J39" t="e">
        <f>results!H46</f>
        <v>#REF!</v>
      </c>
      <c r="K39" t="e">
        <f>results!I46</f>
        <v>#REF!</v>
      </c>
      <c r="L39" t="e">
        <f>results!J46</f>
        <v>#REF!</v>
      </c>
      <c r="M39" t="e">
        <f>results!K46</f>
        <v>#REF!</v>
      </c>
      <c r="N39" t="e">
        <f>results!L46</f>
        <v>#REF!</v>
      </c>
      <c r="O39" t="e">
        <f>results!Q46</f>
        <v>#REF!</v>
      </c>
      <c r="P39" t="e">
        <f>results!R46</f>
        <v>#REF!</v>
      </c>
      <c r="Q39" t="e">
        <f>results!M46</f>
        <v>#REF!</v>
      </c>
      <c r="R39" t="e">
        <f>results!N46</f>
        <v>#REF!</v>
      </c>
      <c r="S39" t="e">
        <f>R39/Q39</f>
        <v>#REF!</v>
      </c>
      <c r="T39" t="e">
        <f>results!O46</f>
        <v>#REF!</v>
      </c>
      <c r="U39" t="e">
        <f>results!P46</f>
        <v>#REF!</v>
      </c>
      <c r="V39" t="e">
        <f>U39/T39</f>
        <v>#REF!</v>
      </c>
      <c r="W39" t="e">
        <f>((Q39*1000)-YEAR(Input!#REF!)+1950)/1000</f>
        <v>#REF!</v>
      </c>
      <c r="X39" t="e">
        <f>W39*S39</f>
        <v>#REF!</v>
      </c>
      <c r="Y39" t="e">
        <f>((T39*1000)-YEAR(Input!#REF!)+1950)/1000</f>
        <v>#REF!</v>
      </c>
      <c r="Z39" t="e">
        <f>V39*Y39</f>
        <v>#REF!</v>
      </c>
      <c r="AA39" t="e">
        <f>1950-Y39*1000</f>
        <v>#REF!</v>
      </c>
      <c r="AB39" t="e">
        <f>U39*1000</f>
        <v>#REF!</v>
      </c>
      <c r="AC39" t="e">
        <f>D39</f>
        <v>#REF!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Input</vt:lpstr>
      <vt:lpstr>Calc</vt:lpstr>
      <vt:lpstr>results</vt:lpstr>
      <vt:lpstr>Std</vt:lpstr>
      <vt:lpstr>Tabelle1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Kontor</cp:lastModifiedBy>
  <cp:lastPrinted>2009-07-14T11:56:15Z</cp:lastPrinted>
  <dcterms:created xsi:type="dcterms:W3CDTF">2003-07-28T11:40:39Z</dcterms:created>
  <dcterms:modified xsi:type="dcterms:W3CDTF">2021-02-10T13:13:00Z</dcterms:modified>
</cp:coreProperties>
</file>