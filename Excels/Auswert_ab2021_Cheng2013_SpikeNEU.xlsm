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\\user.iup.uni-heidelberg.de\mygroup\palaeos\user\Sophie\UTh_Auswert\"/>
    </mc:Choice>
  </mc:AlternateContent>
  <bookViews>
    <workbookView xWindow="0" yWindow="0" windowWidth="28800" windowHeight="11730" activeTab="1"/>
  </bookViews>
  <sheets>
    <sheet name="Input" sheetId="3" r:id="rId1"/>
    <sheet name="Calc" sheetId="2" r:id="rId2"/>
    <sheet name="results" sheetId="6" r:id="rId3"/>
    <sheet name="Constants" sheetId="9" r:id="rId4"/>
  </sheets>
  <functionGroups builtInGroupCount="18"/>
  <definedNames>
    <definedName name="_xlnm._FilterDatabase" localSheetId="1" hidden="1">Calc!$A$5:$H$7</definedName>
  </definedNames>
  <calcPr calcId="162913"/>
</workbook>
</file>

<file path=xl/calcChain.xml><?xml version="1.0" encoding="utf-8"?>
<calcChain xmlns="http://schemas.openxmlformats.org/spreadsheetml/2006/main">
  <c r="F30" i="6" l="1"/>
  <c r="F28" i="6"/>
  <c r="F26" i="6"/>
  <c r="F22" i="6"/>
  <c r="F20" i="6"/>
  <c r="F18" i="6"/>
  <c r="F16" i="6"/>
  <c r="F14" i="6"/>
  <c r="F12" i="6"/>
  <c r="F10" i="6"/>
  <c r="F8" i="6"/>
  <c r="E30" i="6"/>
  <c r="E28" i="6"/>
  <c r="E26" i="6"/>
  <c r="E22" i="6"/>
  <c r="E20" i="6"/>
  <c r="E18" i="6"/>
  <c r="E16" i="6"/>
  <c r="E14" i="6"/>
  <c r="E12" i="6"/>
  <c r="E10" i="6"/>
  <c r="E8" i="6"/>
  <c r="AA30" i="6"/>
  <c r="Z30" i="6"/>
  <c r="Y30" i="6"/>
  <c r="X30" i="6"/>
  <c r="W30" i="6"/>
  <c r="U30" i="6"/>
  <c r="S30" i="6"/>
  <c r="T30" i="6" s="1"/>
  <c r="R30" i="6"/>
  <c r="P30" i="6"/>
  <c r="Q30" i="6" s="1"/>
  <c r="O30" i="6"/>
  <c r="N30" i="6"/>
  <c r="M30" i="6"/>
  <c r="L30" i="6"/>
  <c r="K30" i="6"/>
  <c r="J30" i="6"/>
  <c r="AB30" i="6" s="1"/>
  <c r="I30" i="6"/>
  <c r="H30" i="6"/>
  <c r="G30" i="6"/>
  <c r="D30" i="6"/>
  <c r="C30" i="6"/>
  <c r="B30" i="6"/>
  <c r="A30" i="6"/>
  <c r="AB28" i="6"/>
  <c r="Z28" i="6"/>
  <c r="Y28" i="6"/>
  <c r="X28" i="6"/>
  <c r="W28" i="6"/>
  <c r="U28" i="6"/>
  <c r="S28" i="6"/>
  <c r="T28" i="6" s="1"/>
  <c r="R28" i="6"/>
  <c r="P28" i="6"/>
  <c r="Q28" i="6" s="1"/>
  <c r="O28" i="6"/>
  <c r="N28" i="6"/>
  <c r="M28" i="6"/>
  <c r="L28" i="6"/>
  <c r="K28" i="6"/>
  <c r="AA28" i="6" s="1"/>
  <c r="J28" i="6"/>
  <c r="I28" i="6"/>
  <c r="H28" i="6"/>
  <c r="G28" i="6"/>
  <c r="D28" i="6"/>
  <c r="C28" i="6"/>
  <c r="B28" i="6"/>
  <c r="A28" i="6"/>
  <c r="AA26" i="6"/>
  <c r="Z26" i="6"/>
  <c r="Y26" i="6"/>
  <c r="X26" i="6"/>
  <c r="W26" i="6"/>
  <c r="U26" i="6"/>
  <c r="S26" i="6"/>
  <c r="T26" i="6" s="1"/>
  <c r="R26" i="6"/>
  <c r="Q26" i="6"/>
  <c r="P26" i="6"/>
  <c r="O26" i="6"/>
  <c r="N26" i="6"/>
  <c r="M26" i="6"/>
  <c r="L26" i="6"/>
  <c r="K26" i="6"/>
  <c r="J26" i="6"/>
  <c r="AB26" i="6" s="1"/>
  <c r="I26" i="6"/>
  <c r="H26" i="6"/>
  <c r="G26" i="6"/>
  <c r="D26" i="6"/>
  <c r="C26" i="6"/>
  <c r="B26" i="6"/>
  <c r="A26" i="6"/>
  <c r="AA22" i="6"/>
  <c r="Z22" i="6"/>
  <c r="Y22" i="6"/>
  <c r="X22" i="6"/>
  <c r="W22" i="6"/>
  <c r="U22" i="6"/>
  <c r="S22" i="6"/>
  <c r="T22" i="6" s="1"/>
  <c r="R22" i="6"/>
  <c r="Q22" i="6"/>
  <c r="P22" i="6"/>
  <c r="O22" i="6"/>
  <c r="N22" i="6"/>
  <c r="M22" i="6"/>
  <c r="L22" i="6"/>
  <c r="K22" i="6"/>
  <c r="J22" i="6"/>
  <c r="AB22" i="6" s="1"/>
  <c r="I22" i="6"/>
  <c r="H22" i="6"/>
  <c r="G22" i="6"/>
  <c r="D22" i="6"/>
  <c r="C22" i="6"/>
  <c r="B22" i="6"/>
  <c r="A22" i="6"/>
  <c r="Z20" i="6"/>
  <c r="Y20" i="6"/>
  <c r="X20" i="6"/>
  <c r="W20" i="6"/>
  <c r="U20" i="6"/>
  <c r="T20" i="6"/>
  <c r="S20" i="6"/>
  <c r="R20" i="6"/>
  <c r="P20" i="6"/>
  <c r="Q20" i="6" s="1"/>
  <c r="O20" i="6"/>
  <c r="N20" i="6"/>
  <c r="M20" i="6"/>
  <c r="L20" i="6"/>
  <c r="K20" i="6"/>
  <c r="AA20" i="6" s="1"/>
  <c r="J20" i="6"/>
  <c r="AB20" i="6" s="1"/>
  <c r="I20" i="6"/>
  <c r="H20" i="6"/>
  <c r="G20" i="6"/>
  <c r="D20" i="6"/>
  <c r="C20" i="6"/>
  <c r="B20" i="6"/>
  <c r="A20" i="6"/>
  <c r="Z18" i="6"/>
  <c r="Y18" i="6"/>
  <c r="X18" i="6"/>
  <c r="W18" i="6"/>
  <c r="U18" i="6"/>
  <c r="T18" i="6"/>
  <c r="S18" i="6"/>
  <c r="R18" i="6"/>
  <c r="P18" i="6"/>
  <c r="Q18" i="6" s="1"/>
  <c r="O18" i="6"/>
  <c r="N18" i="6"/>
  <c r="M18" i="6"/>
  <c r="L18" i="6"/>
  <c r="K18" i="6"/>
  <c r="AA18" i="6" s="1"/>
  <c r="J18" i="6"/>
  <c r="AB18" i="6" s="1"/>
  <c r="I18" i="6"/>
  <c r="H18" i="6"/>
  <c r="G18" i="6"/>
  <c r="D18" i="6"/>
  <c r="C18" i="6"/>
  <c r="B18" i="6"/>
  <c r="A18" i="6"/>
  <c r="AB16" i="6"/>
  <c r="Z16" i="6"/>
  <c r="Y16" i="6"/>
  <c r="X16" i="6"/>
  <c r="W16" i="6"/>
  <c r="U16" i="6"/>
  <c r="S16" i="6"/>
  <c r="T16" i="6" s="1"/>
  <c r="R16" i="6"/>
  <c r="P16" i="6"/>
  <c r="Q16" i="6" s="1"/>
  <c r="O16" i="6"/>
  <c r="N16" i="6"/>
  <c r="M16" i="6"/>
  <c r="L16" i="6"/>
  <c r="K16" i="6"/>
  <c r="AA16" i="6" s="1"/>
  <c r="J16" i="6"/>
  <c r="I16" i="6"/>
  <c r="H16" i="6"/>
  <c r="G16" i="6"/>
  <c r="D16" i="6"/>
  <c r="C16" i="6"/>
  <c r="B16" i="6"/>
  <c r="A16" i="6"/>
  <c r="Z14" i="6"/>
  <c r="Y14" i="6"/>
  <c r="X14" i="6"/>
  <c r="W14" i="6"/>
  <c r="U14" i="6"/>
  <c r="T14" i="6"/>
  <c r="S14" i="6"/>
  <c r="R14" i="6"/>
  <c r="P14" i="6"/>
  <c r="Q14" i="6" s="1"/>
  <c r="O14" i="6"/>
  <c r="N14" i="6"/>
  <c r="M14" i="6"/>
  <c r="L14" i="6"/>
  <c r="K14" i="6"/>
  <c r="AA14" i="6" s="1"/>
  <c r="J14" i="6"/>
  <c r="AB14" i="6" s="1"/>
  <c r="I14" i="6"/>
  <c r="H14" i="6"/>
  <c r="G14" i="6"/>
  <c r="D14" i="6"/>
  <c r="C14" i="6"/>
  <c r="B14" i="6"/>
  <c r="A14" i="6"/>
  <c r="Z12" i="6"/>
  <c r="Y12" i="6"/>
  <c r="X12" i="6"/>
  <c r="W12" i="6"/>
  <c r="U12" i="6"/>
  <c r="T12" i="6"/>
  <c r="S12" i="6"/>
  <c r="R12" i="6"/>
  <c r="P12" i="6"/>
  <c r="Q12" i="6" s="1"/>
  <c r="O12" i="6"/>
  <c r="N12" i="6"/>
  <c r="M12" i="6"/>
  <c r="L12" i="6"/>
  <c r="K12" i="6"/>
  <c r="AA12" i="6" s="1"/>
  <c r="J12" i="6"/>
  <c r="AB12" i="6" s="1"/>
  <c r="I12" i="6"/>
  <c r="H12" i="6"/>
  <c r="G12" i="6"/>
  <c r="D12" i="6"/>
  <c r="C12" i="6"/>
  <c r="B12" i="6"/>
  <c r="A12" i="6"/>
  <c r="AB10" i="6"/>
  <c r="Z10" i="6"/>
  <c r="Y10" i="6"/>
  <c r="X10" i="6"/>
  <c r="W10" i="6"/>
  <c r="U10" i="6"/>
  <c r="S10" i="6"/>
  <c r="T10" i="6" s="1"/>
  <c r="R10" i="6"/>
  <c r="P10" i="6"/>
  <c r="Q10" i="6" s="1"/>
  <c r="O10" i="6"/>
  <c r="N10" i="6"/>
  <c r="M10" i="6"/>
  <c r="L10" i="6"/>
  <c r="K10" i="6"/>
  <c r="AA10" i="6" s="1"/>
  <c r="J10" i="6"/>
  <c r="I10" i="6"/>
  <c r="H10" i="6"/>
  <c r="G10" i="6"/>
  <c r="D10" i="6"/>
  <c r="C10" i="6"/>
  <c r="B10" i="6"/>
  <c r="A10" i="6"/>
  <c r="C29" i="9"/>
  <c r="D30" i="9"/>
  <c r="C30" i="9"/>
  <c r="D24" i="9"/>
  <c r="C27" i="9"/>
  <c r="D27" i="9" s="1"/>
  <c r="C24" i="9"/>
  <c r="C23" i="9"/>
  <c r="D29" i="9"/>
  <c r="C26" i="9"/>
  <c r="X8" i="2" l="1"/>
  <c r="D26" i="9"/>
  <c r="D23" i="9" l="1"/>
  <c r="AD8" i="2"/>
  <c r="AF8" i="2" s="1"/>
  <c r="BM31" i="2" l="1"/>
  <c r="BL31" i="2"/>
  <c r="AV31" i="2"/>
  <c r="AD31" i="2"/>
  <c r="AF31" i="2" s="1"/>
  <c r="X31" i="2"/>
  <c r="Z31" i="2" s="1"/>
  <c r="S31" i="2"/>
  <c r="U31" i="2" s="1"/>
  <c r="J31" i="2"/>
  <c r="L31" i="2" s="1"/>
  <c r="M31" i="2" s="1"/>
  <c r="E31" i="2"/>
  <c r="F31" i="2" s="1"/>
  <c r="D31" i="2"/>
  <c r="C31" i="2"/>
  <c r="B31" i="2"/>
  <c r="A31" i="2"/>
  <c r="BM30" i="2"/>
  <c r="BL30" i="2"/>
  <c r="AD30" i="2"/>
  <c r="AF30" i="2" s="1"/>
  <c r="X30" i="2"/>
  <c r="S30" i="2"/>
  <c r="E30" i="2"/>
  <c r="G30" i="2" s="1"/>
  <c r="C30" i="2"/>
  <c r="J30" i="2" s="1"/>
  <c r="L30" i="2" s="1"/>
  <c r="M30" i="2" s="1"/>
  <c r="B30" i="2"/>
  <c r="A30" i="2"/>
  <c r="BM29" i="2"/>
  <c r="BL29" i="2"/>
  <c r="AV29" i="2"/>
  <c r="AD29" i="2"/>
  <c r="AF29" i="2" s="1"/>
  <c r="X29" i="2"/>
  <c r="Z29" i="2" s="1"/>
  <c r="AA29" i="2" s="1"/>
  <c r="S29" i="2"/>
  <c r="T29" i="2" s="1"/>
  <c r="E29" i="2"/>
  <c r="F29" i="2" s="1"/>
  <c r="C29" i="2"/>
  <c r="J29" i="2" s="1"/>
  <c r="B29" i="2"/>
  <c r="A29" i="2"/>
  <c r="BM28" i="2"/>
  <c r="BL28" i="2"/>
  <c r="AD28" i="2"/>
  <c r="AF28" i="2" s="1"/>
  <c r="X28" i="2"/>
  <c r="S28" i="2"/>
  <c r="J28" i="2"/>
  <c r="L28" i="2" s="1"/>
  <c r="M28" i="2" s="1"/>
  <c r="E28" i="2"/>
  <c r="F28" i="2" s="1"/>
  <c r="C28" i="2"/>
  <c r="D28" i="2" s="1"/>
  <c r="B28" i="2"/>
  <c r="A28" i="2"/>
  <c r="BM27" i="2"/>
  <c r="BL27" i="2"/>
  <c r="AV27" i="2"/>
  <c r="AD27" i="2"/>
  <c r="AF27" i="2" s="1"/>
  <c r="AG27" i="2" s="1"/>
  <c r="X27" i="2"/>
  <c r="S27" i="2"/>
  <c r="U27" i="2" s="1"/>
  <c r="V27" i="2" s="1"/>
  <c r="AK27" i="2" s="1"/>
  <c r="E27" i="2"/>
  <c r="G27" i="2" s="1"/>
  <c r="C27" i="2"/>
  <c r="D27" i="2" s="1"/>
  <c r="B27" i="2"/>
  <c r="A27" i="2"/>
  <c r="BM26" i="2"/>
  <c r="BL26" i="2"/>
  <c r="AD26" i="2"/>
  <c r="AE26" i="2" s="1"/>
  <c r="X26" i="2"/>
  <c r="S26" i="2"/>
  <c r="T26" i="2" s="1"/>
  <c r="E26" i="2"/>
  <c r="F26" i="2" s="1"/>
  <c r="C26" i="2"/>
  <c r="J26" i="2" s="1"/>
  <c r="B26" i="2"/>
  <c r="A26" i="2"/>
  <c r="BM25" i="2"/>
  <c r="BL25" i="2"/>
  <c r="AV25" i="2"/>
  <c r="AD25" i="2"/>
  <c r="AF25" i="2" s="1"/>
  <c r="X25" i="2"/>
  <c r="Z25" i="2" s="1"/>
  <c r="S25" i="2"/>
  <c r="U25" i="2" s="1"/>
  <c r="E25" i="2"/>
  <c r="G25" i="2" s="1"/>
  <c r="C25" i="2"/>
  <c r="D25" i="2" s="1"/>
  <c r="B25" i="2"/>
  <c r="A25" i="2"/>
  <c r="U29" i="2" l="1"/>
  <c r="AJ29" i="2" s="1"/>
  <c r="Y28" i="2"/>
  <c r="G28" i="2"/>
  <c r="O28" i="2" s="1"/>
  <c r="D30" i="2"/>
  <c r="G29" i="2"/>
  <c r="U28" i="2"/>
  <c r="V28" i="2" s="1"/>
  <c r="T27" i="2"/>
  <c r="J25" i="2"/>
  <c r="L25" i="2" s="1"/>
  <c r="M25" i="2" s="1"/>
  <c r="G26" i="2"/>
  <c r="H26" i="2" s="1"/>
  <c r="G31" i="2"/>
  <c r="O31" i="2" s="1"/>
  <c r="Q31" i="2" s="1"/>
  <c r="AF26" i="2"/>
  <c r="AG26" i="2" s="1"/>
  <c r="Z28" i="2"/>
  <c r="AA28" i="2" s="1"/>
  <c r="AE29" i="2"/>
  <c r="AE27" i="2"/>
  <c r="Z26" i="2"/>
  <c r="AE30" i="2"/>
  <c r="AG28" i="2"/>
  <c r="V31" i="2"/>
  <c r="AJ31" i="2"/>
  <c r="O25" i="2"/>
  <c r="H25" i="2"/>
  <c r="H27" i="2"/>
  <c r="O27" i="2"/>
  <c r="U30" i="2"/>
  <c r="AH31" i="2"/>
  <c r="AG31" i="2"/>
  <c r="L26" i="2"/>
  <c r="M26" i="2" s="1"/>
  <c r="K26" i="2"/>
  <c r="AA25" i="2"/>
  <c r="AJ28" i="2"/>
  <c r="K29" i="2"/>
  <c r="L29" i="2"/>
  <c r="M29" i="2" s="1"/>
  <c r="AG30" i="2"/>
  <c r="H30" i="2"/>
  <c r="O30" i="2"/>
  <c r="AJ25" i="2"/>
  <c r="V25" i="2"/>
  <c r="U26" i="2"/>
  <c r="AH25" i="2"/>
  <c r="AG25" i="2"/>
  <c r="F27" i="2"/>
  <c r="Y27" i="2"/>
  <c r="H31" i="2"/>
  <c r="AA31" i="2"/>
  <c r="T25" i="2"/>
  <c r="D26" i="2"/>
  <c r="Z27" i="2"/>
  <c r="D29" i="2"/>
  <c r="V29" i="2"/>
  <c r="AG29" i="2"/>
  <c r="F30" i="2"/>
  <c r="Y30" i="2"/>
  <c r="K28" i="2"/>
  <c r="T28" i="2"/>
  <c r="AE28" i="2"/>
  <c r="AH29" i="2"/>
  <c r="Z30" i="2"/>
  <c r="AA30" i="2" s="1"/>
  <c r="K31" i="2"/>
  <c r="T31" i="2"/>
  <c r="AE31" i="2"/>
  <c r="AE25" i="2"/>
  <c r="AJ27" i="2"/>
  <c r="Y26" i="2"/>
  <c r="J27" i="2"/>
  <c r="Y29" i="2"/>
  <c r="K30" i="2"/>
  <c r="T30" i="2"/>
  <c r="F25" i="2"/>
  <c r="Y25" i="2"/>
  <c r="Y31" i="2"/>
  <c r="K25" i="2" l="1"/>
  <c r="AH28" i="2"/>
  <c r="P31" i="2"/>
  <c r="R31" i="2"/>
  <c r="AS31" i="2"/>
  <c r="AW31" i="2" s="1"/>
  <c r="AN31" i="2"/>
  <c r="AL31" i="2"/>
  <c r="P28" i="2"/>
  <c r="AH26" i="2"/>
  <c r="H28" i="2"/>
  <c r="O29" i="2"/>
  <c r="H29" i="2"/>
  <c r="O26" i="2"/>
  <c r="Q28" i="2"/>
  <c r="AL28" i="2" s="1"/>
  <c r="AA26" i="2"/>
  <c r="AI25" i="2"/>
  <c r="AK28" i="2"/>
  <c r="Q27" i="2"/>
  <c r="AS27" i="2" s="1"/>
  <c r="P27" i="2"/>
  <c r="L27" i="2"/>
  <c r="M27" i="2" s="1"/>
  <c r="K27" i="2"/>
  <c r="AK29" i="2"/>
  <c r="AJ26" i="2"/>
  <c r="V26" i="2"/>
  <c r="AH30" i="2"/>
  <c r="AK25" i="2"/>
  <c r="AK31" i="2"/>
  <c r="AI29" i="2"/>
  <c r="AH27" i="2"/>
  <c r="AA27" i="2"/>
  <c r="AI31" i="2"/>
  <c r="Q30" i="2"/>
  <c r="AS30" i="2" s="1"/>
  <c r="P30" i="2"/>
  <c r="V30" i="2"/>
  <c r="AJ30" i="2"/>
  <c r="Q25" i="2"/>
  <c r="P25" i="2"/>
  <c r="AI28" i="2"/>
  <c r="BH31" i="2"/>
  <c r="AP31" i="2"/>
  <c r="P26" i="2" l="1"/>
  <c r="Q26" i="2"/>
  <c r="AZ31" i="2"/>
  <c r="AT31" i="2"/>
  <c r="AI26" i="2"/>
  <c r="BN31" i="2"/>
  <c r="AO31" i="2"/>
  <c r="BB31" i="2" s="1"/>
  <c r="BP31" i="2"/>
  <c r="AM31" i="2"/>
  <c r="P29" i="2"/>
  <c r="Q29" i="2"/>
  <c r="R28" i="2"/>
  <c r="AM28" i="2" s="1"/>
  <c r="AS28" i="2"/>
  <c r="AI27" i="2"/>
  <c r="AI30" i="2"/>
  <c r="AW30" i="2"/>
  <c r="AT30" i="2"/>
  <c r="AK30" i="2"/>
  <c r="AY31" i="2"/>
  <c r="AX31" i="2" s="1"/>
  <c r="AT27" i="2"/>
  <c r="AW27" i="2"/>
  <c r="R30" i="2"/>
  <c r="AL30" i="2"/>
  <c r="R26" i="2"/>
  <c r="AS26" i="2"/>
  <c r="AL26" i="2"/>
  <c r="R25" i="2"/>
  <c r="AL25" i="2"/>
  <c r="AN25" i="2"/>
  <c r="AS25" i="2"/>
  <c r="AK26" i="2"/>
  <c r="R27" i="2"/>
  <c r="AN27" i="2"/>
  <c r="AL27" i="2"/>
  <c r="BJ31" i="2"/>
  <c r="BK31" i="2" s="1"/>
  <c r="BC31" i="2"/>
  <c r="AQ31" i="2"/>
  <c r="BI31" i="2"/>
  <c r="AP27" i="2"/>
  <c r="BH27" i="2"/>
  <c r="BH25" i="2"/>
  <c r="AP25" i="2"/>
  <c r="BA31" i="2" l="1"/>
  <c r="BN25" i="2"/>
  <c r="BN27" i="2"/>
  <c r="AR31" i="2"/>
  <c r="AW28" i="2"/>
  <c r="AT28" i="2"/>
  <c r="AS29" i="2"/>
  <c r="AL29" i="2"/>
  <c r="R29" i="2"/>
  <c r="AN29" i="2"/>
  <c r="AM27" i="2"/>
  <c r="BP27" i="2"/>
  <c r="BP25" i="2"/>
  <c r="AN26" i="2"/>
  <c r="AM26" i="2"/>
  <c r="AO27" i="2"/>
  <c r="BJ27" i="2" s="1"/>
  <c r="BK27" i="2" s="1"/>
  <c r="AZ27" i="2"/>
  <c r="AT26" i="2"/>
  <c r="AW26" i="2"/>
  <c r="AY30" i="2"/>
  <c r="AX30" i="2" s="1"/>
  <c r="AM30" i="2"/>
  <c r="AT25" i="2"/>
  <c r="AW25" i="2"/>
  <c r="BR31" i="2"/>
  <c r="BQ31" i="2"/>
  <c r="BO31" i="2"/>
  <c r="AO25" i="2"/>
  <c r="AZ25" i="2"/>
  <c r="AM25" i="2"/>
  <c r="AY27" i="2"/>
  <c r="AX27" i="2" s="1"/>
  <c r="BD31" i="2"/>
  <c r="BH29" i="2"/>
  <c r="AP29" i="2"/>
  <c r="BC27" i="2"/>
  <c r="BI27" i="2"/>
  <c r="AQ27" i="2"/>
  <c r="BC25" i="2"/>
  <c r="BH26" i="2"/>
  <c r="AP26" i="2"/>
  <c r="AQ25" i="2"/>
  <c r="BI25" i="2"/>
  <c r="BE31" i="2" l="1"/>
  <c r="BN26" i="2"/>
  <c r="BN29" i="2"/>
  <c r="BP29" i="2"/>
  <c r="AM29" i="2"/>
  <c r="AZ29" i="2"/>
  <c r="AO29" i="2"/>
  <c r="AT29" i="2"/>
  <c r="AW29" i="2"/>
  <c r="AY28" i="2"/>
  <c r="AX28" i="2" s="1"/>
  <c r="AY26" i="2"/>
  <c r="AX26" i="2" s="1"/>
  <c r="AN30" i="2"/>
  <c r="AO30" i="2" s="1"/>
  <c r="AN28" i="2"/>
  <c r="AR25" i="2"/>
  <c r="AR27" i="2"/>
  <c r="BP26" i="2"/>
  <c r="BQ27" i="2"/>
  <c r="BR27" i="2"/>
  <c r="BB25" i="2"/>
  <c r="BA25" i="2" s="1"/>
  <c r="BO27" i="2"/>
  <c r="BB27" i="2"/>
  <c r="BA27" i="2" s="1"/>
  <c r="AZ30" i="2"/>
  <c r="BJ25" i="2"/>
  <c r="BK25" i="2" s="1"/>
  <c r="AO26" i="2"/>
  <c r="AZ26" i="2"/>
  <c r="AY25" i="2"/>
  <c r="AX25" i="2" s="1"/>
  <c r="BC29" i="2"/>
  <c r="AP30" i="2"/>
  <c r="BH30" i="2"/>
  <c r="AP28" i="2"/>
  <c r="BH28" i="2"/>
  <c r="BI29" i="2"/>
  <c r="AQ29" i="2"/>
  <c r="BD27" i="2"/>
  <c r="BI30" i="2"/>
  <c r="AQ30" i="2"/>
  <c r="BC30" i="2"/>
  <c r="BI26" i="2"/>
  <c r="BC26" i="2"/>
  <c r="AQ26" i="2"/>
  <c r="BD25" i="2"/>
  <c r="BN28" i="2" l="1"/>
  <c r="BN30" i="2"/>
  <c r="AR29" i="2"/>
  <c r="BP28" i="2"/>
  <c r="BP30" i="2"/>
  <c r="BB29" i="2"/>
  <c r="BA29" i="2" s="1"/>
  <c r="AZ28" i="2"/>
  <c r="AO28" i="2"/>
  <c r="BJ28" i="2" s="1"/>
  <c r="BJ29" i="2"/>
  <c r="BK29" i="2" s="1"/>
  <c r="AY29" i="2"/>
  <c r="AX29" i="2" s="1"/>
  <c r="BE25" i="2"/>
  <c r="BE27" i="2"/>
  <c r="AR26" i="2"/>
  <c r="AR30" i="2"/>
  <c r="BR25" i="2"/>
  <c r="BQ25" i="2"/>
  <c r="BO25" i="2"/>
  <c r="BB26" i="2"/>
  <c r="BA26" i="2" s="1"/>
  <c r="BJ26" i="2"/>
  <c r="BB30" i="2"/>
  <c r="BA30" i="2" s="1"/>
  <c r="BJ30" i="2"/>
  <c r="BC28" i="2"/>
  <c r="AQ28" i="2"/>
  <c r="BI28" i="2"/>
  <c r="BD29" i="2"/>
  <c r="BD30" i="2"/>
  <c r="BD26" i="2"/>
  <c r="BK28" i="2" l="1"/>
  <c r="BK30" i="2"/>
  <c r="BK26" i="2"/>
  <c r="BE29" i="2"/>
  <c r="AR28" i="2"/>
  <c r="BQ28" i="2"/>
  <c r="BB28" i="2"/>
  <c r="BA28" i="2" s="1"/>
  <c r="BR28" i="2"/>
  <c r="BR29" i="2"/>
  <c r="BQ29" i="2"/>
  <c r="BO29" i="2"/>
  <c r="BO28" i="2"/>
  <c r="BE26" i="2"/>
  <c r="BE30" i="2"/>
  <c r="BR26" i="2"/>
  <c r="BQ26" i="2"/>
  <c r="BO26" i="2"/>
  <c r="BQ30" i="2"/>
  <c r="BR30" i="2"/>
  <c r="BO30" i="2"/>
  <c r="BD28" i="2"/>
  <c r="BE28" i="2" l="1"/>
  <c r="AD7" i="2"/>
  <c r="U8" i="6" l="1"/>
  <c r="B8" i="6"/>
  <c r="A8" i="6"/>
  <c r="X20" i="2"/>
  <c r="E20" i="2"/>
  <c r="G20" i="2" s="1"/>
  <c r="S20" i="2"/>
  <c r="T20" i="2" s="1"/>
  <c r="AD20" i="2"/>
  <c r="AE20" i="2" s="1"/>
  <c r="BM20" i="2"/>
  <c r="BL20" i="2"/>
  <c r="C20" i="2"/>
  <c r="D20" i="2" s="1"/>
  <c r="B20" i="2"/>
  <c r="A20" i="2"/>
  <c r="E8" i="2"/>
  <c r="F8" i="2" s="1"/>
  <c r="S8" i="2"/>
  <c r="S7" i="2"/>
  <c r="U7" i="2" s="1"/>
  <c r="S9" i="2"/>
  <c r="T9" i="2" s="1"/>
  <c r="AE7" i="2"/>
  <c r="E7" i="2"/>
  <c r="F7" i="2" s="1"/>
  <c r="AD9" i="2"/>
  <c r="AF9" i="2" s="1"/>
  <c r="E9" i="2"/>
  <c r="G9" i="2" s="1"/>
  <c r="O9" i="2" s="1"/>
  <c r="Q9" i="2" s="1"/>
  <c r="R9" i="2" s="1"/>
  <c r="BM8" i="2"/>
  <c r="BL8" i="2"/>
  <c r="C8" i="2"/>
  <c r="J8" i="2" s="1"/>
  <c r="B8" i="2"/>
  <c r="A8" i="2"/>
  <c r="X7" i="2"/>
  <c r="Z7" i="2" s="1"/>
  <c r="AA7" i="2" s="1"/>
  <c r="AV7" i="2"/>
  <c r="BM7" i="2"/>
  <c r="BL7" i="2"/>
  <c r="C7" i="2"/>
  <c r="D7" i="2" s="1"/>
  <c r="B7" i="2"/>
  <c r="A7" i="2"/>
  <c r="S23" i="2"/>
  <c r="T23" i="2" s="1"/>
  <c r="AD23" i="2"/>
  <c r="AF23" i="2" s="1"/>
  <c r="AG23" i="2" s="1"/>
  <c r="E23" i="2"/>
  <c r="G23" i="2" s="1"/>
  <c r="O23" i="2" s="1"/>
  <c r="Q23" i="2" s="1"/>
  <c r="X23" i="2"/>
  <c r="Z23" i="2" s="1"/>
  <c r="AA23" i="2" s="1"/>
  <c r="AV23" i="2"/>
  <c r="BM23" i="2"/>
  <c r="BL23" i="2"/>
  <c r="C23" i="2"/>
  <c r="D23" i="2" s="1"/>
  <c r="B23" i="2"/>
  <c r="A23" i="2"/>
  <c r="X22" i="2"/>
  <c r="E22" i="2"/>
  <c r="G22" i="2" s="1"/>
  <c r="H22" i="2" s="1"/>
  <c r="S22" i="2"/>
  <c r="T22" i="2" s="1"/>
  <c r="S21" i="2"/>
  <c r="U21" i="2" s="1"/>
  <c r="AD22" i="2"/>
  <c r="AF22" i="2" s="1"/>
  <c r="AD21" i="2"/>
  <c r="AF21" i="2" s="1"/>
  <c r="E21" i="2"/>
  <c r="G21" i="2" s="1"/>
  <c r="BM22" i="2"/>
  <c r="BL22" i="2"/>
  <c r="C22" i="2"/>
  <c r="D22" i="2" s="1"/>
  <c r="B22" i="2"/>
  <c r="A22" i="2"/>
  <c r="X21" i="2"/>
  <c r="Y21" i="2" s="1"/>
  <c r="AV21" i="2"/>
  <c r="BM21" i="2"/>
  <c r="BL21" i="2"/>
  <c r="C21" i="2"/>
  <c r="B21" i="2"/>
  <c r="A21" i="2"/>
  <c r="X19" i="2"/>
  <c r="Y19" i="2" s="1"/>
  <c r="E19" i="2"/>
  <c r="G19" i="2" s="1"/>
  <c r="S19" i="2"/>
  <c r="U19" i="2" s="1"/>
  <c r="AD19" i="2"/>
  <c r="AF19" i="2" s="1"/>
  <c r="AG19" i="2" s="1"/>
  <c r="AV19" i="2"/>
  <c r="BM19" i="2"/>
  <c r="BL19" i="2"/>
  <c r="C19" i="2"/>
  <c r="J19" i="2" s="1"/>
  <c r="B19" i="2"/>
  <c r="A19" i="2"/>
  <c r="X18" i="2"/>
  <c r="E18" i="2"/>
  <c r="F18" i="2" s="1"/>
  <c r="S18" i="2"/>
  <c r="T18" i="2" s="1"/>
  <c r="S17" i="2"/>
  <c r="U17" i="2" s="1"/>
  <c r="V17" i="2" s="1"/>
  <c r="AK17" i="2" s="1"/>
  <c r="AD18" i="2"/>
  <c r="AF18" i="2" s="1"/>
  <c r="AG18" i="2" s="1"/>
  <c r="AD17" i="2"/>
  <c r="AF17" i="2" s="1"/>
  <c r="E17" i="2"/>
  <c r="BM18" i="2"/>
  <c r="BL18" i="2"/>
  <c r="C18" i="2"/>
  <c r="J18" i="2" s="1"/>
  <c r="B18" i="2"/>
  <c r="A18" i="2"/>
  <c r="X17" i="2"/>
  <c r="Y17" i="2" s="1"/>
  <c r="AV17" i="2"/>
  <c r="BM17" i="2"/>
  <c r="BL17" i="2"/>
  <c r="C17" i="2"/>
  <c r="J17" i="2" s="1"/>
  <c r="B17" i="2"/>
  <c r="A17" i="2"/>
  <c r="X16" i="2"/>
  <c r="E16" i="2"/>
  <c r="G16" i="2" s="1"/>
  <c r="S16" i="2"/>
  <c r="T16" i="2" s="1"/>
  <c r="S15" i="2"/>
  <c r="U15" i="2" s="1"/>
  <c r="AD16" i="2"/>
  <c r="AF16" i="2" s="1"/>
  <c r="AG16" i="2" s="1"/>
  <c r="AD15" i="2"/>
  <c r="E15" i="2"/>
  <c r="G15" i="2" s="1"/>
  <c r="BM16" i="2"/>
  <c r="BL16" i="2"/>
  <c r="C16" i="2"/>
  <c r="D16" i="2" s="1"/>
  <c r="B16" i="2"/>
  <c r="A16" i="2"/>
  <c r="X15" i="2"/>
  <c r="Y15" i="2" s="1"/>
  <c r="AV15" i="2"/>
  <c r="BM15" i="2"/>
  <c r="BL15" i="2"/>
  <c r="C15" i="2"/>
  <c r="J15" i="2" s="1"/>
  <c r="B15" i="2"/>
  <c r="A15" i="2"/>
  <c r="X14" i="2"/>
  <c r="E14" i="2"/>
  <c r="G14" i="2" s="1"/>
  <c r="S14" i="2"/>
  <c r="T14" i="2" s="1"/>
  <c r="S13" i="2"/>
  <c r="U13" i="2" s="1"/>
  <c r="V13" i="2" s="1"/>
  <c r="AK13" i="2" s="1"/>
  <c r="AD14" i="2"/>
  <c r="AF14" i="2" s="1"/>
  <c r="AG14" i="2" s="1"/>
  <c r="AD13" i="2"/>
  <c r="AF13" i="2" s="1"/>
  <c r="E13" i="2"/>
  <c r="G13" i="2" s="1"/>
  <c r="BM14" i="2"/>
  <c r="BL14" i="2"/>
  <c r="C14" i="2"/>
  <c r="J14" i="2" s="1"/>
  <c r="B14" i="2"/>
  <c r="A14" i="2"/>
  <c r="X13" i="2"/>
  <c r="Z13" i="2" s="1"/>
  <c r="AA13" i="2" s="1"/>
  <c r="AV13" i="2"/>
  <c r="BM13" i="2"/>
  <c r="BL13" i="2"/>
  <c r="C13" i="2"/>
  <c r="B13" i="2"/>
  <c r="A13" i="2"/>
  <c r="X12" i="2"/>
  <c r="E12" i="2"/>
  <c r="G12" i="2" s="1"/>
  <c r="O12" i="2" s="1"/>
  <c r="Q12" i="2" s="1"/>
  <c r="S12" i="2"/>
  <c r="T12" i="2" s="1"/>
  <c r="S11" i="2"/>
  <c r="U11" i="2" s="1"/>
  <c r="V11" i="2" s="1"/>
  <c r="AK11" i="2" s="1"/>
  <c r="AD12" i="2"/>
  <c r="AF12" i="2" s="1"/>
  <c r="AD11" i="2"/>
  <c r="AF11" i="2" s="1"/>
  <c r="AG11" i="2" s="1"/>
  <c r="E11" i="2"/>
  <c r="BM12" i="2"/>
  <c r="BL12" i="2"/>
  <c r="C12" i="2"/>
  <c r="J12" i="2" s="1"/>
  <c r="B12" i="2"/>
  <c r="A12" i="2"/>
  <c r="X11" i="2"/>
  <c r="Z11" i="2" s="1"/>
  <c r="AV11" i="2"/>
  <c r="BM11" i="2"/>
  <c r="BL11" i="2"/>
  <c r="C11" i="2"/>
  <c r="J11" i="2" s="1"/>
  <c r="K11" i="2" s="1"/>
  <c r="B11" i="2"/>
  <c r="A11" i="2"/>
  <c r="X10" i="2"/>
  <c r="E10" i="2"/>
  <c r="G10" i="2" s="1"/>
  <c r="O10" i="2" s="1"/>
  <c r="S10" i="2"/>
  <c r="T10" i="2" s="1"/>
  <c r="AD10" i="2"/>
  <c r="BM10" i="2"/>
  <c r="BL10" i="2"/>
  <c r="C10" i="2"/>
  <c r="B10" i="2"/>
  <c r="A10" i="2"/>
  <c r="X9" i="2"/>
  <c r="AV9" i="2"/>
  <c r="BM9" i="2"/>
  <c r="BL9" i="2"/>
  <c r="C9" i="2"/>
  <c r="J9" i="2" s="1"/>
  <c r="L9" i="2" s="1"/>
  <c r="M9" i="2" s="1"/>
  <c r="H9" i="2"/>
  <c r="F9" i="2"/>
  <c r="B9" i="2"/>
  <c r="A9" i="2"/>
  <c r="AE9" i="2" l="1"/>
  <c r="Z10" i="2"/>
  <c r="AA10" i="2" s="1"/>
  <c r="Y8" i="2"/>
  <c r="Z20" i="2"/>
  <c r="AA20" i="2" s="1"/>
  <c r="L8" i="2"/>
  <c r="M8" i="2" s="1"/>
  <c r="AE14" i="2"/>
  <c r="AE23" i="2"/>
  <c r="F23" i="2"/>
  <c r="T13" i="2"/>
  <c r="H23" i="2"/>
  <c r="H12" i="2"/>
  <c r="F22" i="2"/>
  <c r="F13" i="2"/>
  <c r="AE11" i="2"/>
  <c r="T15" i="2"/>
  <c r="AE21" i="2"/>
  <c r="AL9" i="2"/>
  <c r="AE16" i="2"/>
  <c r="T17" i="2"/>
  <c r="Z21" i="2"/>
  <c r="AA21" i="2" s="1"/>
  <c r="P9" i="2"/>
  <c r="P23" i="2"/>
  <c r="Z15" i="2"/>
  <c r="AA15" i="2" s="1"/>
  <c r="Y22" i="2"/>
  <c r="Z17" i="2"/>
  <c r="AA17" i="2" s="1"/>
  <c r="F20" i="2"/>
  <c r="T7" i="2"/>
  <c r="AE19" i="2"/>
  <c r="AE12" i="2"/>
  <c r="Y7" i="2"/>
  <c r="Y18" i="2"/>
  <c r="D10" i="2"/>
  <c r="J10" i="2"/>
  <c r="Z8" i="2"/>
  <c r="L14" i="2"/>
  <c r="M14" i="2" s="1"/>
  <c r="K14" i="2"/>
  <c r="O20" i="2"/>
  <c r="H20" i="2"/>
  <c r="T11" i="2"/>
  <c r="J22" i="2"/>
  <c r="K22" i="2" s="1"/>
  <c r="U9" i="2"/>
  <c r="Y11" i="2"/>
  <c r="G18" i="2"/>
  <c r="O18" i="2" s="1"/>
  <c r="Q18" i="2" s="1"/>
  <c r="T21" i="2"/>
  <c r="D14" i="2"/>
  <c r="F14" i="2"/>
  <c r="F21" i="2"/>
  <c r="AH23" i="2"/>
  <c r="AI23" i="2" s="1"/>
  <c r="F10" i="2"/>
  <c r="H10" i="2"/>
  <c r="AE17" i="2"/>
  <c r="D12" i="2"/>
  <c r="Y13" i="2"/>
  <c r="Z14" i="2"/>
  <c r="AA14" i="2" s="1"/>
  <c r="F19" i="2"/>
  <c r="D13" i="2"/>
  <c r="J13" i="2"/>
  <c r="AE10" i="2"/>
  <c r="AF10" i="2"/>
  <c r="AE15" i="2"/>
  <c r="AF15" i="2"/>
  <c r="AG15" i="2" s="1"/>
  <c r="L17" i="2"/>
  <c r="M17" i="2" s="1"/>
  <c r="K17" i="2"/>
  <c r="AN9" i="2"/>
  <c r="AG9" i="2"/>
  <c r="AM9" i="2" s="1"/>
  <c r="G11" i="2"/>
  <c r="O11" i="2" s="1"/>
  <c r="F11" i="2"/>
  <c r="H14" i="2"/>
  <c r="O14" i="2"/>
  <c r="Q14" i="2" s="1"/>
  <c r="R14" i="2" s="1"/>
  <c r="F17" i="2"/>
  <c r="G17" i="2"/>
  <c r="H17" i="2" s="1"/>
  <c r="D21" i="2"/>
  <c r="J21" i="2"/>
  <c r="L21" i="2" s="1"/>
  <c r="M21" i="2" s="1"/>
  <c r="L18" i="2"/>
  <c r="M18" i="2" s="1"/>
  <c r="K18" i="2"/>
  <c r="AE18" i="2"/>
  <c r="J7" i="2"/>
  <c r="K7" i="2" s="1"/>
  <c r="AE8" i="2"/>
  <c r="G7" i="2"/>
  <c r="G8" i="2"/>
  <c r="D9" i="2"/>
  <c r="D11" i="2"/>
  <c r="AE13" i="2"/>
  <c r="D17" i="2"/>
  <c r="Y14" i="2"/>
  <c r="F15" i="2"/>
  <c r="D18" i="2"/>
  <c r="Z18" i="2"/>
  <c r="Z19" i="2"/>
  <c r="AA19" i="2" s="1"/>
  <c r="D8" i="2"/>
  <c r="J20" i="2"/>
  <c r="L20" i="2" s="1"/>
  <c r="M20" i="2" s="1"/>
  <c r="Y16" i="2"/>
  <c r="AL12" i="2"/>
  <c r="R12" i="2"/>
  <c r="P10" i="2"/>
  <c r="L19" i="2"/>
  <c r="M19" i="2" s="1"/>
  <c r="K19" i="2"/>
  <c r="Z9" i="2"/>
  <c r="Q10" i="2"/>
  <c r="R10" i="2" s="1"/>
  <c r="Y12" i="2"/>
  <c r="U12" i="2"/>
  <c r="AJ11" i="2"/>
  <c r="AJ13" i="2"/>
  <c r="U20" i="2"/>
  <c r="AJ19" i="2"/>
  <c r="V19" i="2"/>
  <c r="AG17" i="2"/>
  <c r="O19" i="2"/>
  <c r="H19" i="2"/>
  <c r="O21" i="2"/>
  <c r="H21" i="2"/>
  <c r="K9" i="2"/>
  <c r="L11" i="2"/>
  <c r="M11" i="2" s="1"/>
  <c r="U14" i="2"/>
  <c r="AG21" i="2"/>
  <c r="AH21" i="2"/>
  <c r="L12" i="2"/>
  <c r="M12" i="2" s="1"/>
  <c r="K12" i="2"/>
  <c r="H11" i="2"/>
  <c r="P12" i="2"/>
  <c r="H13" i="2"/>
  <c r="O13" i="2"/>
  <c r="L15" i="2"/>
  <c r="M15" i="2" s="1"/>
  <c r="K15" i="2"/>
  <c r="U16" i="2"/>
  <c r="AJ15" i="2"/>
  <c r="V15" i="2"/>
  <c r="AG22" i="2"/>
  <c r="Y9" i="2"/>
  <c r="Y10" i="2"/>
  <c r="AA11" i="2"/>
  <c r="AH11" i="2"/>
  <c r="V21" i="2"/>
  <c r="AJ21" i="2"/>
  <c r="Z12" i="2"/>
  <c r="AA12" i="2" s="1"/>
  <c r="AH13" i="2"/>
  <c r="AG13" i="2"/>
  <c r="H16" i="2"/>
  <c r="O16" i="2"/>
  <c r="AG12" i="2"/>
  <c r="O15" i="2"/>
  <c r="H15" i="2"/>
  <c r="U18" i="2"/>
  <c r="D15" i="2"/>
  <c r="Z16" i="2"/>
  <c r="AA16" i="2" s="1"/>
  <c r="D19" i="2"/>
  <c r="J23" i="2"/>
  <c r="U23" i="2"/>
  <c r="T19" i="2"/>
  <c r="AJ17" i="2"/>
  <c r="J16" i="2"/>
  <c r="O17" i="2"/>
  <c r="AE22" i="2"/>
  <c r="O22" i="2"/>
  <c r="AN23" i="2"/>
  <c r="F12" i="2"/>
  <c r="F16" i="2"/>
  <c r="Z22" i="2"/>
  <c r="AH22" i="2" s="1"/>
  <c r="Y23" i="2"/>
  <c r="AG8" i="2"/>
  <c r="V7" i="2"/>
  <c r="AJ7" i="2"/>
  <c r="U8" i="2"/>
  <c r="AF7" i="2"/>
  <c r="K8" i="2"/>
  <c r="T8" i="2"/>
  <c r="AF20" i="2"/>
  <c r="Y20" i="2"/>
  <c r="AP23" i="2"/>
  <c r="AP9" i="2"/>
  <c r="K21" i="2" l="1"/>
  <c r="P20" i="2"/>
  <c r="L7" i="2"/>
  <c r="M7" i="2" s="1"/>
  <c r="Q20" i="2"/>
  <c r="R20" i="2" s="1"/>
  <c r="AH14" i="2"/>
  <c r="AA8" i="2"/>
  <c r="AH8" i="2"/>
  <c r="I8" i="6" s="1"/>
  <c r="AH17" i="2"/>
  <c r="AI17" i="2" s="1"/>
  <c r="AH19" i="2"/>
  <c r="AI19" i="2" s="1"/>
  <c r="AH15" i="2"/>
  <c r="AI15" i="2" s="1"/>
  <c r="AS14" i="2"/>
  <c r="L22" i="2"/>
  <c r="M22" i="2" s="1"/>
  <c r="H18" i="2"/>
  <c r="K20" i="2"/>
  <c r="R18" i="2"/>
  <c r="AS18" i="2"/>
  <c r="V9" i="2"/>
  <c r="AK9" i="2" s="1"/>
  <c r="AJ9" i="2"/>
  <c r="AH16" i="2"/>
  <c r="U10" i="2"/>
  <c r="AI13" i="2"/>
  <c r="O7" i="2"/>
  <c r="H7" i="2"/>
  <c r="L13" i="2"/>
  <c r="M13" i="2" s="1"/>
  <c r="K13" i="2"/>
  <c r="AA18" i="2"/>
  <c r="AH18" i="2"/>
  <c r="AO9" i="2"/>
  <c r="P18" i="2"/>
  <c r="AS20" i="2"/>
  <c r="AT20" i="2" s="1"/>
  <c r="AL10" i="2"/>
  <c r="AG10" i="2"/>
  <c r="AH10" i="2"/>
  <c r="O8" i="2"/>
  <c r="H8" i="2"/>
  <c r="P14" i="2"/>
  <c r="AH12" i="2"/>
  <c r="Q16" i="2"/>
  <c r="P16" i="2"/>
  <c r="AA22" i="2"/>
  <c r="AI22" i="2" s="1"/>
  <c r="AJ23" i="2"/>
  <c r="V23" i="2"/>
  <c r="AL18" i="2"/>
  <c r="AJ18" i="2"/>
  <c r="V18" i="2"/>
  <c r="AS12" i="2"/>
  <c r="AK15" i="2"/>
  <c r="Q13" i="2"/>
  <c r="P13" i="2"/>
  <c r="AJ14" i="2"/>
  <c r="V14" i="2"/>
  <c r="Q19" i="2"/>
  <c r="P19" i="2"/>
  <c r="AK7" i="2"/>
  <c r="U22" i="2"/>
  <c r="AH9" i="2"/>
  <c r="AA9" i="2"/>
  <c r="AS9" i="2"/>
  <c r="AL20" i="2"/>
  <c r="AG20" i="2"/>
  <c r="AH20" i="2"/>
  <c r="Q17" i="2"/>
  <c r="P17" i="2"/>
  <c r="L23" i="2"/>
  <c r="M23" i="2" s="1"/>
  <c r="K23" i="2"/>
  <c r="Q15" i="2"/>
  <c r="P15" i="2"/>
  <c r="AK21" i="2"/>
  <c r="L10" i="2"/>
  <c r="M10" i="2" s="1"/>
  <c r="K10" i="2"/>
  <c r="AK19" i="2"/>
  <c r="AS10" i="2"/>
  <c r="V8" i="2"/>
  <c r="AJ8" i="2"/>
  <c r="K8" i="6" s="1"/>
  <c r="AA8" i="6" s="1"/>
  <c r="R23" i="2"/>
  <c r="AO23" i="2" s="1"/>
  <c r="AL23" i="2"/>
  <c r="V16" i="2"/>
  <c r="AJ16" i="2"/>
  <c r="AI21" i="2"/>
  <c r="AH7" i="2"/>
  <c r="AG7" i="2"/>
  <c r="Q11" i="2"/>
  <c r="P11" i="2"/>
  <c r="AJ12" i="2"/>
  <c r="V12" i="2"/>
  <c r="P22" i="2"/>
  <c r="Q22" i="2"/>
  <c r="L16" i="2"/>
  <c r="M16" i="2" s="1"/>
  <c r="K16" i="2"/>
  <c r="AL14" i="2"/>
  <c r="AS23" i="2"/>
  <c r="AW23" i="2" s="1"/>
  <c r="AI11" i="2"/>
  <c r="Q21" i="2"/>
  <c r="P21" i="2"/>
  <c r="V20" i="2"/>
  <c r="AJ20" i="2"/>
  <c r="AM12" i="2"/>
  <c r="BH23" i="2"/>
  <c r="AQ23" i="2"/>
  <c r="BH9" i="2"/>
  <c r="AQ9" i="2"/>
  <c r="AI8" i="2" l="1"/>
  <c r="J8" i="6" s="1"/>
  <c r="AB8" i="6" s="1"/>
  <c r="AI14" i="2"/>
  <c r="BN9" i="2"/>
  <c r="BN23" i="2"/>
  <c r="AI12" i="2"/>
  <c r="AW14" i="2"/>
  <c r="AI16" i="2"/>
  <c r="AM10" i="2"/>
  <c r="AW18" i="2"/>
  <c r="AT14" i="2"/>
  <c r="AW20" i="2"/>
  <c r="AI9" i="2"/>
  <c r="V10" i="2"/>
  <c r="AK10" i="2" s="1"/>
  <c r="AJ10" i="2"/>
  <c r="AR9" i="2"/>
  <c r="AI18" i="2"/>
  <c r="AT18" i="2"/>
  <c r="P7" i="2"/>
  <c r="Q7" i="2"/>
  <c r="AI10" i="2"/>
  <c r="P8" i="2"/>
  <c r="D8" i="6" s="1"/>
  <c r="Q8" i="2"/>
  <c r="C8" i="6"/>
  <c r="BP9" i="2"/>
  <c r="AR23" i="2"/>
  <c r="BP23" i="2"/>
  <c r="R21" i="2"/>
  <c r="AL21" i="2"/>
  <c r="AN21" i="2"/>
  <c r="AS21" i="2"/>
  <c r="V22" i="2"/>
  <c r="AJ22" i="2"/>
  <c r="AK16" i="2"/>
  <c r="AM18" i="2"/>
  <c r="R22" i="2"/>
  <c r="AL22" i="2"/>
  <c r="AI7" i="2"/>
  <c r="AT9" i="2"/>
  <c r="AW9" i="2"/>
  <c r="AZ9" i="2"/>
  <c r="R13" i="2"/>
  <c r="AS13" i="2"/>
  <c r="AL13" i="2"/>
  <c r="AN13" i="2"/>
  <c r="R11" i="2"/>
  <c r="AN11" i="2"/>
  <c r="AS11" i="2"/>
  <c r="AL11" i="2"/>
  <c r="AI20" i="2"/>
  <c r="AS19" i="2"/>
  <c r="R19" i="2"/>
  <c r="AN19" i="2"/>
  <c r="AN20" i="2" s="1"/>
  <c r="AL19" i="2"/>
  <c r="AK23" i="2"/>
  <c r="AS22" i="2"/>
  <c r="AM23" i="2"/>
  <c r="AK14" i="2"/>
  <c r="AT23" i="2"/>
  <c r="BB23" i="2" s="1"/>
  <c r="AK8" i="2"/>
  <c r="L8" i="6" s="1"/>
  <c r="AL15" i="2"/>
  <c r="AN15" i="2"/>
  <c r="R15" i="2"/>
  <c r="AS15" i="2"/>
  <c r="AS17" i="2"/>
  <c r="R17" i="2"/>
  <c r="AL17" i="2"/>
  <c r="AN17" i="2"/>
  <c r="AM20" i="2"/>
  <c r="AT12" i="2"/>
  <c r="AW12" i="2"/>
  <c r="AL16" i="2"/>
  <c r="R16" i="2"/>
  <c r="AS16" i="2"/>
  <c r="AK20" i="2"/>
  <c r="AY20" i="2"/>
  <c r="AM14" i="2"/>
  <c r="AK18" i="2"/>
  <c r="AK12" i="2"/>
  <c r="AW10" i="2"/>
  <c r="AT10" i="2"/>
  <c r="AZ23" i="2"/>
  <c r="AP17" i="2"/>
  <c r="BH21" i="2"/>
  <c r="BH17" i="2"/>
  <c r="BH19" i="2"/>
  <c r="BI23" i="2"/>
  <c r="AP21" i="2"/>
  <c r="AP19" i="2"/>
  <c r="BC23" i="2"/>
  <c r="AP20" i="2"/>
  <c r="BH20" i="2"/>
  <c r="BH15" i="2"/>
  <c r="AP15" i="2"/>
  <c r="BH13" i="2"/>
  <c r="AP13" i="2"/>
  <c r="BH11" i="2"/>
  <c r="AP11" i="2"/>
  <c r="BI9" i="2"/>
  <c r="BC9" i="2"/>
  <c r="AY12" i="2" l="1"/>
  <c r="BN11" i="2"/>
  <c r="BN13" i="2"/>
  <c r="BN15" i="2"/>
  <c r="BN20" i="2"/>
  <c r="BN19" i="2"/>
  <c r="BN17" i="2"/>
  <c r="BN21" i="2"/>
  <c r="AX20" i="2"/>
  <c r="AY14" i="2"/>
  <c r="AX14" i="2" s="1"/>
  <c r="AN14" i="2"/>
  <c r="AN18" i="2"/>
  <c r="AZ18" i="2" s="1"/>
  <c r="AM19" i="2"/>
  <c r="AY10" i="2"/>
  <c r="AX10" i="2" s="1"/>
  <c r="AW22" i="2"/>
  <c r="AY18" i="2"/>
  <c r="AX18" i="2" s="1"/>
  <c r="AM11" i="2"/>
  <c r="AM21" i="2"/>
  <c r="R8" i="2"/>
  <c r="AL8" i="2"/>
  <c r="AS8" i="2"/>
  <c r="W8" i="6" s="1"/>
  <c r="AM15" i="2"/>
  <c r="AM17" i="2"/>
  <c r="R7" i="2"/>
  <c r="AS7" i="2"/>
  <c r="AN7" i="2"/>
  <c r="AL7" i="2"/>
  <c r="BP15" i="2"/>
  <c r="BP11" i="2"/>
  <c r="BP20" i="2"/>
  <c r="BP19" i="2"/>
  <c r="BP21" i="2"/>
  <c r="BP13" i="2"/>
  <c r="BP17" i="2"/>
  <c r="AK22" i="2"/>
  <c r="BJ23" i="2"/>
  <c r="AT15" i="2"/>
  <c r="AY15" i="2" s="1"/>
  <c r="AW15" i="2"/>
  <c r="AN16" i="2"/>
  <c r="AM16" i="2"/>
  <c r="AZ19" i="2"/>
  <c r="AO19" i="2"/>
  <c r="AT11" i="2"/>
  <c r="AY11" i="2" s="1"/>
  <c r="AW11" i="2"/>
  <c r="BB9" i="2"/>
  <c r="BA9" i="2" s="1"/>
  <c r="AZ15" i="2"/>
  <c r="AO15" i="2"/>
  <c r="AO11" i="2"/>
  <c r="AZ11" i="2"/>
  <c r="AN12" i="2"/>
  <c r="AN10" i="2"/>
  <c r="AO13" i="2"/>
  <c r="AZ13" i="2"/>
  <c r="AX12" i="2"/>
  <c r="AZ20" i="2"/>
  <c r="AO20" i="2"/>
  <c r="AT19" i="2"/>
  <c r="AY19" i="2" s="1"/>
  <c r="AW19" i="2"/>
  <c r="AM13" i="2"/>
  <c r="AT21" i="2"/>
  <c r="AW21" i="2"/>
  <c r="BA23" i="2"/>
  <c r="AO17" i="2"/>
  <c r="AZ17" i="2"/>
  <c r="AT13" i="2"/>
  <c r="AY13" i="2" s="1"/>
  <c r="AW13" i="2"/>
  <c r="AZ21" i="2"/>
  <c r="AO21" i="2"/>
  <c r="AT22" i="2"/>
  <c r="AN22" i="2"/>
  <c r="AM22" i="2"/>
  <c r="AY23" i="2"/>
  <c r="AX23" i="2" s="1"/>
  <c r="AY9" i="2"/>
  <c r="AX9" i="2" s="1"/>
  <c r="BJ9" i="2"/>
  <c r="AT16" i="2"/>
  <c r="AW16" i="2"/>
  <c r="AT17" i="2"/>
  <c r="BJ17" i="2" s="1"/>
  <c r="AW17" i="2"/>
  <c r="AP22" i="2"/>
  <c r="BI21" i="2"/>
  <c r="BI19" i="2"/>
  <c r="BC20" i="2"/>
  <c r="AQ19" i="2"/>
  <c r="AP18" i="2"/>
  <c r="BC21" i="2"/>
  <c r="BD23" i="2"/>
  <c r="AQ20" i="2"/>
  <c r="BC19" i="2"/>
  <c r="BC17" i="2"/>
  <c r="BI20" i="2"/>
  <c r="AQ17" i="2"/>
  <c r="BH22" i="2"/>
  <c r="BH18" i="2"/>
  <c r="BI17" i="2"/>
  <c r="AQ21" i="2"/>
  <c r="BC18" i="2"/>
  <c r="AP16" i="2"/>
  <c r="BH16" i="2"/>
  <c r="BI15" i="2"/>
  <c r="BC15" i="2"/>
  <c r="AQ15" i="2"/>
  <c r="BH14" i="2"/>
  <c r="AQ13" i="2"/>
  <c r="AP14" i="2"/>
  <c r="BI13" i="2"/>
  <c r="BC13" i="2"/>
  <c r="BC11" i="2"/>
  <c r="AP12" i="2"/>
  <c r="AQ11" i="2"/>
  <c r="BH12" i="2"/>
  <c r="BI11" i="2"/>
  <c r="AP10" i="2"/>
  <c r="BH10" i="2"/>
  <c r="BD9" i="2"/>
  <c r="AP7" i="2"/>
  <c r="BH7" i="2"/>
  <c r="AO18" i="2" l="1"/>
  <c r="BN7" i="2"/>
  <c r="BN10" i="2"/>
  <c r="BN12" i="2"/>
  <c r="BN14" i="2"/>
  <c r="BN16" i="2"/>
  <c r="BN18" i="2"/>
  <c r="BN22" i="2"/>
  <c r="BO17" i="2"/>
  <c r="BK17" i="2"/>
  <c r="BO23" i="2"/>
  <c r="BK23" i="2"/>
  <c r="BO9" i="2"/>
  <c r="BK9" i="2"/>
  <c r="AZ14" i="2"/>
  <c r="AO14" i="2"/>
  <c r="BB14" i="2" s="1"/>
  <c r="BP18" i="2"/>
  <c r="BP14" i="2"/>
  <c r="AM7" i="2"/>
  <c r="AY16" i="2"/>
  <c r="BJ20" i="2"/>
  <c r="BP7" i="2"/>
  <c r="AM8" i="2"/>
  <c r="AN8" i="2"/>
  <c r="AZ7" i="2"/>
  <c r="AO7" i="2"/>
  <c r="BJ15" i="2"/>
  <c r="BK15" i="2" s="1"/>
  <c r="AT7" i="2"/>
  <c r="AW7" i="2"/>
  <c r="BJ11" i="2"/>
  <c r="AT8" i="2"/>
  <c r="AY8" i="2" s="1"/>
  <c r="AW8" i="2"/>
  <c r="BP10" i="2"/>
  <c r="BP22" i="2"/>
  <c r="BP12" i="2"/>
  <c r="AR15" i="2"/>
  <c r="AR11" i="2"/>
  <c r="BP16" i="2"/>
  <c r="AR20" i="2"/>
  <c r="BE23" i="2"/>
  <c r="AR21" i="2"/>
  <c r="AR17" i="2"/>
  <c r="BE9" i="2"/>
  <c r="AR13" i="2"/>
  <c r="AR19" i="2"/>
  <c r="BQ17" i="2"/>
  <c r="BR17" i="2"/>
  <c r="AY17" i="2"/>
  <c r="AX17" i="2" s="1"/>
  <c r="AO10" i="2"/>
  <c r="AZ10" i="2"/>
  <c r="AZ22" i="2"/>
  <c r="AO22" i="2"/>
  <c r="AO12" i="2"/>
  <c r="AZ12" i="2"/>
  <c r="BJ13" i="2"/>
  <c r="BR9" i="2"/>
  <c r="BQ9" i="2"/>
  <c r="BB15" i="2"/>
  <c r="BA15" i="2" s="1"/>
  <c r="BR23" i="2"/>
  <c r="BQ23" i="2"/>
  <c r="BB18" i="2"/>
  <c r="BA18" i="2" s="1"/>
  <c r="BB11" i="2"/>
  <c r="BA11" i="2" s="1"/>
  <c r="AX11" i="2"/>
  <c r="AO16" i="2"/>
  <c r="AZ16" i="2"/>
  <c r="AX19" i="2"/>
  <c r="BB20" i="2"/>
  <c r="BA20" i="2" s="1"/>
  <c r="BB21" i="2"/>
  <c r="BA21" i="2" s="1"/>
  <c r="BB17" i="2"/>
  <c r="BA17" i="2" s="1"/>
  <c r="AY22" i="2"/>
  <c r="AX22" i="2" s="1"/>
  <c r="AX16" i="2"/>
  <c r="AX15" i="2"/>
  <c r="BJ19" i="2"/>
  <c r="AX13" i="2"/>
  <c r="AY21" i="2"/>
  <c r="AX21" i="2" s="1"/>
  <c r="BB13" i="2"/>
  <c r="BA13" i="2" s="1"/>
  <c r="BB19" i="2"/>
  <c r="BA19" i="2" s="1"/>
  <c r="BJ21" i="2"/>
  <c r="BJ18" i="2"/>
  <c r="BK18" i="2" s="1"/>
  <c r="AQ18" i="2"/>
  <c r="BI18" i="2"/>
  <c r="BD18" i="2"/>
  <c r="BD20" i="2"/>
  <c r="BD21" i="2"/>
  <c r="BD19" i="2"/>
  <c r="BC22" i="2"/>
  <c r="BI22" i="2"/>
  <c r="AQ22" i="2"/>
  <c r="BD17" i="2"/>
  <c r="BI16" i="2"/>
  <c r="BC16" i="2"/>
  <c r="AQ16" i="2"/>
  <c r="BD15" i="2"/>
  <c r="BC14" i="2"/>
  <c r="BI14" i="2"/>
  <c r="AQ14" i="2"/>
  <c r="BD13" i="2"/>
  <c r="BD11" i="2"/>
  <c r="BC12" i="2"/>
  <c r="BI12" i="2"/>
  <c r="AQ12" i="2"/>
  <c r="BI10" i="2"/>
  <c r="AQ10" i="2"/>
  <c r="BC10" i="2"/>
  <c r="BC7" i="2"/>
  <c r="BI7" i="2"/>
  <c r="AQ7" i="2"/>
  <c r="AP8" i="2"/>
  <c r="BH8" i="2"/>
  <c r="BA14" i="2" l="1"/>
  <c r="AR18" i="2"/>
  <c r="BJ14" i="2"/>
  <c r="BK14" i="2" s="1"/>
  <c r="BN8" i="2"/>
  <c r="M8" i="6" s="1"/>
  <c r="BO21" i="2"/>
  <c r="BK21" i="2"/>
  <c r="BQ11" i="2"/>
  <c r="BK11" i="2"/>
  <c r="BR20" i="2"/>
  <c r="BK20" i="2"/>
  <c r="BO19" i="2"/>
  <c r="BK19" i="2"/>
  <c r="BO13" i="2"/>
  <c r="BK13" i="2"/>
  <c r="AR14" i="2"/>
  <c r="R8" i="6"/>
  <c r="BQ20" i="2"/>
  <c r="AX8" i="2"/>
  <c r="BO18" i="2"/>
  <c r="Y8" i="6"/>
  <c r="AZ8" i="2"/>
  <c r="BO20" i="2"/>
  <c r="BR15" i="2"/>
  <c r="BO15" i="2"/>
  <c r="BR11" i="2"/>
  <c r="BO11" i="2"/>
  <c r="BJ7" i="2"/>
  <c r="X8" i="6"/>
  <c r="AR7" i="2"/>
  <c r="O8" i="6"/>
  <c r="BQ15" i="2"/>
  <c r="BP8" i="2"/>
  <c r="AY7" i="2"/>
  <c r="AX7" i="2" s="1"/>
  <c r="BB7" i="2"/>
  <c r="BA7" i="2" s="1"/>
  <c r="G8" i="6"/>
  <c r="AO8" i="2"/>
  <c r="BJ8" i="2" s="1"/>
  <c r="BE18" i="2"/>
  <c r="BE21" i="2"/>
  <c r="AR22" i="2"/>
  <c r="AR12" i="2"/>
  <c r="BE13" i="2"/>
  <c r="BE20" i="2"/>
  <c r="BE19" i="2"/>
  <c r="AR16" i="2"/>
  <c r="BE15" i="2"/>
  <c r="BE11" i="2"/>
  <c r="BE17" i="2"/>
  <c r="AR10" i="2"/>
  <c r="BR21" i="2"/>
  <c r="BQ21" i="2"/>
  <c r="BB22" i="2"/>
  <c r="BA22" i="2" s="1"/>
  <c r="BB12" i="2"/>
  <c r="BA12" i="2" s="1"/>
  <c r="BQ13" i="2"/>
  <c r="BR13" i="2"/>
  <c r="BR19" i="2"/>
  <c r="BQ19" i="2"/>
  <c r="BB16" i="2"/>
  <c r="BA16" i="2" s="1"/>
  <c r="BR18" i="2"/>
  <c r="BQ18" i="2"/>
  <c r="BJ22" i="2"/>
  <c r="BK22" i="2" s="1"/>
  <c r="BB10" i="2"/>
  <c r="BA10" i="2" s="1"/>
  <c r="BJ16" i="2"/>
  <c r="BK16" i="2" s="1"/>
  <c r="BJ12" i="2"/>
  <c r="BK12" i="2" s="1"/>
  <c r="BJ10" i="2"/>
  <c r="BK10" i="2" s="1"/>
  <c r="BD14" i="2"/>
  <c r="BD22" i="2"/>
  <c r="BD16" i="2"/>
  <c r="BD12" i="2"/>
  <c r="BD10" i="2"/>
  <c r="BD7" i="2"/>
  <c r="AQ8" i="2"/>
  <c r="BI8" i="2"/>
  <c r="BC8" i="2"/>
  <c r="BE14" i="2" l="1"/>
  <c r="BR14" i="2"/>
  <c r="BQ14" i="2"/>
  <c r="BO14" i="2"/>
  <c r="BO7" i="2"/>
  <c r="BK7" i="2"/>
  <c r="BO8" i="2"/>
  <c r="N8" i="6" s="1"/>
  <c r="BK8" i="2"/>
  <c r="P8" i="6"/>
  <c r="Q8" i="6" s="1"/>
  <c r="BO16" i="2"/>
  <c r="BR7" i="2"/>
  <c r="BQ7" i="2"/>
  <c r="BO10" i="2"/>
  <c r="BO22" i="2"/>
  <c r="BO12" i="2"/>
  <c r="Z8" i="6"/>
  <c r="BQ8" i="2"/>
  <c r="S8" i="6"/>
  <c r="T8" i="6" s="1"/>
  <c r="BR8" i="2"/>
  <c r="BE7" i="2"/>
  <c r="AR8" i="2"/>
  <c r="H8" i="6"/>
  <c r="BB8" i="2"/>
  <c r="BA8" i="2" s="1"/>
  <c r="BE10" i="2"/>
  <c r="BE12" i="2"/>
  <c r="BE16" i="2"/>
  <c r="BE22" i="2"/>
  <c r="BR22" i="2"/>
  <c r="BQ22" i="2"/>
  <c r="BR12" i="2"/>
  <c r="BQ12" i="2"/>
  <c r="BQ16" i="2"/>
  <c r="BR16" i="2"/>
  <c r="BQ10" i="2"/>
  <c r="BR10" i="2"/>
  <c r="BD8" i="2"/>
  <c r="BE8" i="2" l="1"/>
</calcChain>
</file>

<file path=xl/sharedStrings.xml><?xml version="1.0" encoding="utf-8"?>
<sst xmlns="http://schemas.openxmlformats.org/spreadsheetml/2006/main" count="347" uniqueCount="181">
  <si>
    <t>Bezeich.</t>
  </si>
  <si>
    <t>Probe</t>
  </si>
  <si>
    <t>Tiefe</t>
  </si>
  <si>
    <t>Einwaage</t>
  </si>
  <si>
    <t>Fehler</t>
  </si>
  <si>
    <t xml:space="preserve">  234U/233U</t>
  </si>
  <si>
    <t xml:space="preserve">   Fehler</t>
  </si>
  <si>
    <t>234U/238U</t>
  </si>
  <si>
    <t>230Th/229Th</t>
  </si>
  <si>
    <t>229Th/232Th</t>
  </si>
  <si>
    <t>230Th/232Th</t>
  </si>
  <si>
    <t>A230/A232</t>
  </si>
  <si>
    <t>(cm)</t>
  </si>
  <si>
    <t>(%)</t>
  </si>
  <si>
    <t>gem.</t>
  </si>
  <si>
    <t>gem.+korr.</t>
  </si>
  <si>
    <t xml:space="preserve">   (in %)</t>
  </si>
  <si>
    <t xml:space="preserve">    (%)</t>
  </si>
  <si>
    <t>Blank 234</t>
  </si>
  <si>
    <t>234U</t>
  </si>
  <si>
    <t xml:space="preserve">   234U</t>
  </si>
  <si>
    <t>Blank 238</t>
  </si>
  <si>
    <t xml:space="preserve">   238U</t>
  </si>
  <si>
    <t>Blank 232</t>
  </si>
  <si>
    <t xml:space="preserve">   232Th</t>
  </si>
  <si>
    <t>A232</t>
  </si>
  <si>
    <t>230Th</t>
  </si>
  <si>
    <t xml:space="preserve">   230Th</t>
  </si>
  <si>
    <t>230Th/238U</t>
  </si>
  <si>
    <t>(abs.)</t>
  </si>
  <si>
    <t>(fg)</t>
  </si>
  <si>
    <t>(pg/g)</t>
  </si>
  <si>
    <t xml:space="preserve">   (dpm/g)</t>
  </si>
  <si>
    <t xml:space="preserve">   (abso.)</t>
  </si>
  <si>
    <t>(ng)</t>
  </si>
  <si>
    <t xml:space="preserve">   (µg/g)</t>
  </si>
  <si>
    <t xml:space="preserve">  (ng/g)</t>
  </si>
  <si>
    <t xml:space="preserve">    (abso.)</t>
  </si>
  <si>
    <t>(fg/g)</t>
  </si>
  <si>
    <t>(ka)</t>
  </si>
  <si>
    <t xml:space="preserve">   (%)</t>
  </si>
  <si>
    <t>235U/236U</t>
  </si>
  <si>
    <t>238U/236U</t>
  </si>
  <si>
    <t>g</t>
  </si>
  <si>
    <t>232Th/238U</t>
  </si>
  <si>
    <t>Cheng korr.</t>
  </si>
  <si>
    <t>Bezeichnung</t>
  </si>
  <si>
    <t>Alter (unkorr.)</t>
  </si>
  <si>
    <t>(a BP)</t>
  </si>
  <si>
    <t>Fehler 2σ</t>
  </si>
  <si>
    <t xml:space="preserve">   Fehler 2σ</t>
  </si>
  <si>
    <t>Fehler 1σ</t>
  </si>
  <si>
    <t>(a)</t>
  </si>
  <si>
    <t>Lab. #</t>
  </si>
  <si>
    <t>Art der</t>
  </si>
  <si>
    <t>Mess. Dat.</t>
  </si>
  <si>
    <t xml:space="preserve">  (ka)</t>
  </si>
  <si>
    <t>(Akt. Ver.)</t>
  </si>
  <si>
    <t>Akt. Ver.</t>
  </si>
  <si>
    <t>Fehler 2σ (ka)</t>
  </si>
  <si>
    <t>Taylor 1. Ord.</t>
  </si>
  <si>
    <t>(Akt. Ver.) initial</t>
  </si>
  <si>
    <t>Ch. Bl. 230</t>
  </si>
  <si>
    <t>Sp. Bl. 230</t>
  </si>
  <si>
    <t>comment</t>
  </si>
  <si>
    <t>Lab.Nr.</t>
  </si>
  <si>
    <t>U236:</t>
  </si>
  <si>
    <t>ng/g</t>
  </si>
  <si>
    <t>U233:</t>
  </si>
  <si>
    <t>Th229:</t>
  </si>
  <si>
    <t>233 / 236</t>
  </si>
  <si>
    <t>Fehler [%]</t>
  </si>
  <si>
    <t>St.</t>
  </si>
  <si>
    <t>234U/235U</t>
  </si>
  <si>
    <t>234U/238Ukorr</t>
  </si>
  <si>
    <t>230Th/238Ukorr</t>
  </si>
  <si>
    <t>(Akt.Ver.)</t>
  </si>
  <si>
    <t>(abso.)</t>
  </si>
  <si>
    <t xml:space="preserve">     (ka)</t>
  </si>
  <si>
    <t>Hu1-13</t>
  </si>
  <si>
    <t>TRI-13</t>
  </si>
  <si>
    <t>TriSp13</t>
  </si>
  <si>
    <t>235U/238U</t>
  </si>
  <si>
    <t>Stalagmit</t>
  </si>
  <si>
    <t xml:space="preserve">   (ng/g)</t>
  </si>
  <si>
    <r>
      <t>d</t>
    </r>
    <r>
      <rPr>
        <b/>
        <vertAlign val="superscript"/>
        <sz val="11"/>
        <rFont val="Calibri"/>
        <family val="2"/>
        <scheme val="minor"/>
      </rPr>
      <t>234</t>
    </r>
    <r>
      <rPr>
        <b/>
        <sz val="11"/>
        <rFont val="Calibri"/>
        <family val="2"/>
        <scheme val="minor"/>
      </rPr>
      <t>U</t>
    </r>
  </si>
  <si>
    <r>
      <t>2σ</t>
    </r>
    <r>
      <rPr>
        <b/>
        <vertAlign val="subscript"/>
        <sz val="11"/>
        <rFont val="Calibri"/>
        <family val="2"/>
        <scheme val="minor"/>
      </rPr>
      <t>t</t>
    </r>
    <r>
      <rPr>
        <b/>
        <sz val="11"/>
        <rFont val="Calibri"/>
        <family val="2"/>
        <scheme val="minor"/>
      </rPr>
      <t xml:space="preserve">/t </t>
    </r>
  </si>
  <si>
    <r>
      <t>(</t>
    </r>
    <r>
      <rPr>
        <b/>
        <vertAlign val="superscript"/>
        <sz val="11"/>
        <rFont val="Calibri"/>
        <family val="2"/>
        <scheme val="minor"/>
      </rPr>
      <t>o</t>
    </r>
    <r>
      <rPr>
        <b/>
        <sz val="11"/>
        <rFont val="Calibri"/>
        <family val="2"/>
        <scheme val="minor"/>
      </rPr>
      <t>/</t>
    </r>
    <r>
      <rPr>
        <b/>
        <vertAlign val="subscript"/>
        <sz val="11"/>
        <rFont val="Calibri"/>
        <family val="2"/>
        <scheme val="minor"/>
      </rPr>
      <t>oo</t>
    </r>
    <r>
      <rPr>
        <b/>
        <sz val="11"/>
        <rFont val="Calibri"/>
        <family val="2"/>
        <scheme val="minor"/>
      </rPr>
      <t>)</t>
    </r>
  </si>
  <si>
    <r>
      <t xml:space="preserve">(abso.) </t>
    </r>
    <r>
      <rPr>
        <b/>
        <vertAlign val="superscript"/>
        <sz val="11"/>
        <rFont val="Calibri"/>
        <family val="2"/>
        <scheme val="minor"/>
      </rPr>
      <t>o</t>
    </r>
    <r>
      <rPr>
        <b/>
        <sz val="11"/>
        <rFont val="Calibri"/>
        <family val="2"/>
        <scheme val="minor"/>
      </rPr>
      <t>/</t>
    </r>
    <r>
      <rPr>
        <b/>
        <vertAlign val="subscript"/>
        <sz val="11"/>
        <rFont val="Calibri"/>
        <family val="2"/>
        <scheme val="minor"/>
      </rPr>
      <t>oo</t>
    </r>
  </si>
  <si>
    <r>
      <rPr>
        <b/>
        <sz val="11"/>
        <rFont val="Symbol"/>
        <family val="1"/>
        <charset val="2"/>
      </rPr>
      <t>d</t>
    </r>
    <r>
      <rPr>
        <b/>
        <vertAlign val="superscript"/>
        <sz val="11"/>
        <rFont val="Calibri"/>
        <family val="2"/>
        <scheme val="minor"/>
      </rPr>
      <t>234</t>
    </r>
    <r>
      <rPr>
        <b/>
        <sz val="11"/>
        <rFont val="Calibri"/>
        <family val="2"/>
        <scheme val="minor"/>
      </rPr>
      <t>U (initial)</t>
    </r>
  </si>
  <si>
    <t>Isotope masses</t>
  </si>
  <si>
    <t>U233</t>
  </si>
  <si>
    <t>U234</t>
  </si>
  <si>
    <t>U235</t>
  </si>
  <si>
    <t>U236</t>
  </si>
  <si>
    <t>U238</t>
  </si>
  <si>
    <t>Th229</t>
  </si>
  <si>
    <t>Th230</t>
  </si>
  <si>
    <t>Th232</t>
  </si>
  <si>
    <t>Decay constants</t>
  </si>
  <si>
    <t>l230</t>
  </si>
  <si>
    <t>l234</t>
  </si>
  <si>
    <t>l238</t>
  </si>
  <si>
    <t>l232</t>
  </si>
  <si>
    <t>value</t>
  </si>
  <si>
    <t>uncertainty</t>
  </si>
  <si>
    <t>rel. uncertainty</t>
  </si>
  <si>
    <t>Spike concentrations</t>
  </si>
  <si>
    <t>236U [ng/g]</t>
  </si>
  <si>
    <t>233U [ng/g]</t>
  </si>
  <si>
    <t>(akt.Ver.)korr</t>
  </si>
  <si>
    <t>(230Th232Th)</t>
  </si>
  <si>
    <t>(234U/238U)</t>
  </si>
  <si>
    <t>(230Th/238U)</t>
  </si>
  <si>
    <t>Alter (korr.)</t>
  </si>
  <si>
    <t>Uran Konzentrationen/Aktivitätsverhältnisse (Blank korr.)</t>
  </si>
  <si>
    <t>Thorium Konzentrationen/Aktivitätsverhältnisse (Blank korr.)</t>
  </si>
  <si>
    <t>Akt. Verhältnisse &amp; Alter (unkorr.)</t>
  </si>
  <si>
    <t>Akt. Verhältnisse &amp; Alter (Korr. Methode 1)</t>
  </si>
  <si>
    <t>Akt. Verhältnisse &amp; Alter (Korr. Methode 2)</t>
  </si>
  <si>
    <t>007s10073.exp</t>
  </si>
  <si>
    <t>LA-10-01 top</t>
  </si>
  <si>
    <t>010s10176.exp</t>
  </si>
  <si>
    <t>013s10073.exp</t>
  </si>
  <si>
    <t>LA-10-01 bottom</t>
  </si>
  <si>
    <t>016s10177.exp</t>
  </si>
  <si>
    <t>019s10073.exp</t>
  </si>
  <si>
    <t>LA-10-02 bottom</t>
  </si>
  <si>
    <t>022s10178.exp</t>
  </si>
  <si>
    <t>025s10073.exp</t>
  </si>
  <si>
    <t>LA-10-02 top</t>
  </si>
  <si>
    <t>028s10179.exp</t>
  </si>
  <si>
    <t>031s10073.exp</t>
  </si>
  <si>
    <t>LA-10-03 bottom</t>
  </si>
  <si>
    <t>034s10180.exp</t>
  </si>
  <si>
    <t>037s10073.exp</t>
  </si>
  <si>
    <t>LA-10-03 top</t>
  </si>
  <si>
    <t>040s10181.exp</t>
  </si>
  <si>
    <t>043s10073.exp</t>
  </si>
  <si>
    <t>C1 bottom</t>
  </si>
  <si>
    <t>046s10184.exp</t>
  </si>
  <si>
    <t>049s10073.exp</t>
  </si>
  <si>
    <t>C1 middle</t>
  </si>
  <si>
    <t>052s10185.exp</t>
  </si>
  <si>
    <t>055s10073.exp</t>
  </si>
  <si>
    <r>
      <t xml:space="preserve">   </t>
    </r>
    <r>
      <rPr>
        <b/>
        <vertAlign val="superscript"/>
        <sz val="11"/>
        <color theme="1"/>
        <rFont val="Calibri"/>
        <family val="2"/>
        <scheme val="minor"/>
      </rPr>
      <t>238</t>
    </r>
    <r>
      <rPr>
        <b/>
        <sz val="11"/>
        <color theme="1"/>
        <rFont val="Calibri"/>
        <family val="2"/>
        <scheme val="minor"/>
      </rPr>
      <t>U</t>
    </r>
  </si>
  <si>
    <t xml:space="preserve">   Error</t>
  </si>
  <si>
    <r>
      <t xml:space="preserve">  </t>
    </r>
    <r>
      <rPr>
        <b/>
        <vertAlign val="superscript"/>
        <sz val="11"/>
        <color theme="1"/>
        <rFont val="Calibri"/>
        <family val="2"/>
        <scheme val="minor"/>
      </rPr>
      <t xml:space="preserve"> 232</t>
    </r>
    <r>
      <rPr>
        <b/>
        <sz val="11"/>
        <color theme="1"/>
        <rFont val="Calibri"/>
        <family val="2"/>
        <scheme val="minor"/>
      </rPr>
      <t>Th</t>
    </r>
  </si>
  <si>
    <r>
      <rPr>
        <b/>
        <vertAlign val="superscript"/>
        <sz val="11"/>
        <color theme="1"/>
        <rFont val="Calibri"/>
        <family val="2"/>
        <scheme val="minor"/>
      </rPr>
      <t>230</t>
    </r>
    <r>
      <rPr>
        <b/>
        <sz val="11"/>
        <color theme="1"/>
        <rFont val="Calibri"/>
        <family val="2"/>
        <scheme val="minor"/>
      </rPr>
      <t>Th/</t>
    </r>
    <r>
      <rPr>
        <b/>
        <vertAlign val="superscript"/>
        <sz val="11"/>
        <color theme="1"/>
        <rFont val="Calibri"/>
        <family val="2"/>
        <scheme val="minor"/>
      </rPr>
      <t>238</t>
    </r>
    <r>
      <rPr>
        <b/>
        <sz val="11"/>
        <color theme="1"/>
        <rFont val="Calibri"/>
        <family val="2"/>
        <scheme val="minor"/>
      </rPr>
      <t>U</t>
    </r>
  </si>
  <si>
    <r>
      <rPr>
        <b/>
        <sz val="11"/>
        <color theme="1"/>
        <rFont val="Calibri"/>
        <family val="2"/>
      </rPr>
      <t>δ</t>
    </r>
    <r>
      <rPr>
        <b/>
        <vertAlign val="superscript"/>
        <sz val="11"/>
        <color theme="1"/>
        <rFont val="Calibri"/>
        <family val="2"/>
        <scheme val="minor"/>
      </rPr>
      <t>234</t>
    </r>
    <r>
      <rPr>
        <b/>
        <sz val="11"/>
        <color theme="1"/>
        <rFont val="Calibri"/>
        <family val="2"/>
        <scheme val="minor"/>
      </rPr>
      <t>U</t>
    </r>
  </si>
  <si>
    <t>Age (uncorr.)</t>
  </si>
  <si>
    <t>Age (corr.)</t>
  </si>
  <si>
    <r>
      <t>(</t>
    </r>
    <r>
      <rPr>
        <b/>
        <sz val="11"/>
        <color theme="1"/>
        <rFont val="Arial"/>
        <family val="2"/>
      </rPr>
      <t>‰)</t>
    </r>
  </si>
  <si>
    <t>%</t>
  </si>
  <si>
    <r>
      <rPr>
        <b/>
        <vertAlign val="superscript"/>
        <sz val="11"/>
        <color theme="1"/>
        <rFont val="Calibri"/>
        <family val="2"/>
        <scheme val="minor"/>
      </rPr>
      <t>232</t>
    </r>
    <r>
      <rPr>
        <b/>
        <sz val="11"/>
        <color theme="1"/>
        <rFont val="Calibri"/>
        <family val="2"/>
        <scheme val="minor"/>
      </rPr>
      <t>Th/</t>
    </r>
    <r>
      <rPr>
        <b/>
        <vertAlign val="superscript"/>
        <sz val="11"/>
        <color theme="1"/>
        <rFont val="Calibri"/>
        <family val="2"/>
        <scheme val="minor"/>
      </rPr>
      <t>238</t>
    </r>
    <r>
      <rPr>
        <b/>
        <sz val="11"/>
        <color theme="1"/>
        <rFont val="Calibri"/>
        <family val="2"/>
        <scheme val="minor"/>
      </rPr>
      <t>U</t>
    </r>
  </si>
  <si>
    <r>
      <rPr>
        <b/>
        <sz val="11"/>
        <color theme="1"/>
        <rFont val="Calibri"/>
        <family val="2"/>
      </rPr>
      <t>δ</t>
    </r>
    <r>
      <rPr>
        <b/>
        <vertAlign val="superscript"/>
        <sz val="11"/>
        <color theme="1"/>
        <rFont val="Calibri"/>
        <family val="2"/>
        <scheme val="minor"/>
      </rPr>
      <t>234</t>
    </r>
    <r>
      <rPr>
        <b/>
        <sz val="11"/>
        <color theme="1"/>
        <rFont val="Calibri"/>
        <family val="2"/>
        <scheme val="minor"/>
      </rPr>
      <t>U</t>
    </r>
    <r>
      <rPr>
        <b/>
        <vertAlign val="subscript"/>
        <sz val="11"/>
        <color theme="1"/>
        <rFont val="Calibri"/>
        <family val="2"/>
        <scheme val="minor"/>
      </rPr>
      <t>ini</t>
    </r>
  </si>
  <si>
    <r>
      <rPr>
        <b/>
        <vertAlign val="superscript"/>
        <sz val="11"/>
        <color theme="1"/>
        <rFont val="Calibri"/>
        <family val="2"/>
        <scheme val="minor"/>
      </rPr>
      <t>234</t>
    </r>
    <r>
      <rPr>
        <b/>
        <sz val="11"/>
        <color theme="1"/>
        <rFont val="Calibri"/>
        <family val="2"/>
        <scheme val="minor"/>
      </rPr>
      <t>U/</t>
    </r>
    <r>
      <rPr>
        <b/>
        <vertAlign val="superscript"/>
        <sz val="11"/>
        <color theme="1"/>
        <rFont val="Calibri"/>
        <family val="2"/>
        <scheme val="minor"/>
      </rPr>
      <t>238</t>
    </r>
    <r>
      <rPr>
        <b/>
        <sz val="11"/>
        <color theme="1"/>
        <rFont val="Calibri"/>
        <family val="2"/>
        <scheme val="minor"/>
      </rPr>
      <t>U</t>
    </r>
  </si>
  <si>
    <t>007A10368.exp</t>
  </si>
  <si>
    <t>9368b</t>
  </si>
  <si>
    <t>LM-AJ15</t>
  </si>
  <si>
    <t>Sinter</t>
  </si>
  <si>
    <t>010A9368b.exp</t>
  </si>
  <si>
    <t>013A10368.exp</t>
  </si>
  <si>
    <t>9368c</t>
  </si>
  <si>
    <t>016A9368c.exp</t>
  </si>
  <si>
    <t>019A10368.exp</t>
  </si>
  <si>
    <t>9368d</t>
  </si>
  <si>
    <t>022A9368d.exp</t>
  </si>
  <si>
    <t>025A10368.exp</t>
  </si>
  <si>
    <t>Cheng et al. 2013</t>
  </si>
  <si>
    <t>since 2021</t>
  </si>
  <si>
    <t>Achtung - Änderung der Spike Konz. Und Halbwertszeiten im Tabellenblatt "Constants"</t>
  </si>
  <si>
    <t>229Th [ng/g]</t>
  </si>
  <si>
    <t>weighing error</t>
  </si>
  <si>
    <r>
      <t>(</t>
    </r>
    <r>
      <rPr>
        <b/>
        <vertAlign val="superscript"/>
        <sz val="11"/>
        <color theme="1"/>
        <rFont val="Calibri"/>
        <family val="2"/>
        <scheme val="minor"/>
      </rPr>
      <t>230</t>
    </r>
    <r>
      <rPr>
        <b/>
        <sz val="11"/>
        <color theme="1"/>
        <rFont val="Calibri"/>
        <family val="2"/>
        <scheme val="minor"/>
      </rPr>
      <t>Th/</t>
    </r>
    <r>
      <rPr>
        <b/>
        <vertAlign val="superscript"/>
        <sz val="11"/>
        <color theme="1"/>
        <rFont val="Calibri"/>
        <family val="2"/>
        <scheme val="minor"/>
      </rPr>
      <t>238</t>
    </r>
    <r>
      <rPr>
        <b/>
        <sz val="11"/>
        <color theme="1"/>
        <rFont val="Calibri"/>
        <family val="2"/>
        <scheme val="minor"/>
      </rPr>
      <t>U)</t>
    </r>
  </si>
  <si>
    <r>
      <t>(</t>
    </r>
    <r>
      <rPr>
        <b/>
        <vertAlign val="superscript"/>
        <sz val="11"/>
        <color theme="1"/>
        <rFont val="Calibri"/>
        <family val="2"/>
        <scheme val="minor"/>
      </rPr>
      <t>230</t>
    </r>
    <r>
      <rPr>
        <b/>
        <sz val="11"/>
        <color theme="1"/>
        <rFont val="Calibri"/>
        <family val="2"/>
        <scheme val="minor"/>
      </rPr>
      <t>Th/</t>
    </r>
    <r>
      <rPr>
        <b/>
        <vertAlign val="superscript"/>
        <sz val="11"/>
        <color theme="1"/>
        <rFont val="Calibri"/>
        <family val="2"/>
        <scheme val="minor"/>
      </rPr>
      <t>232</t>
    </r>
    <r>
      <rPr>
        <b/>
        <sz val="11"/>
        <color theme="1"/>
        <rFont val="Calibri"/>
        <family val="2"/>
        <scheme val="minor"/>
      </rPr>
      <t>Th)</t>
    </r>
  </si>
  <si>
    <t>(For isoplot)</t>
  </si>
  <si>
    <t>2SD of U238 conc. From 1043 measurements HU-1 (2017 - 2020) (2sigma test) + weighing error 0.00005</t>
  </si>
  <si>
    <t>2SD from 1557 measurements of  in HU-1 (2017 - 2020) with (230Th/238U) = 1+-2SD(=&lt;0.0067)</t>
  </si>
  <si>
    <t>2SD of U238 conc. From 1043 measurements HU-1 (2017 - 2020) (2sigma test) + weighing error 0.000005</t>
  </si>
  <si>
    <t>s.o. mit 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</si>
</sst>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4">
    <numFmt numFmtId="164" formatCode="0.00000"/>
    <numFmt numFmtId="165" formatCode="General_)"/>
    <numFmt numFmtId="166" formatCode="0.0"/>
    <numFmt numFmtId="167" formatCode="0.000"/>
    <numFmt numFmtId="168" formatCode="0.0000"/>
    <numFmt numFmtId="169" formatCode="0.000000"/>
    <numFmt numFmtId="170" formatCode="0.00000000"/>
    <numFmt numFmtId="171" formatCode="0.000000000"/>
    <numFmt numFmtId="172" formatCode="0.00000000000000"/>
    <numFmt numFmtId="173" formatCode="_-* #,##0.00\ [$€]_-;\-* #,##0.00\ [$€]_-;_-* &quot;-&quot;??\ [$€]_-;_-@_-"/>
    <numFmt numFmtId="174" formatCode="#,##0.0\ _D_M"/>
    <numFmt numFmtId="175" formatCode="0.0000E+00"/>
    <numFmt numFmtId="176" formatCode="0.0%"/>
    <numFmt numFmtId="178" formatCode="0.000%"/>
  </numFmts>
  <fonts count="20" x14ac:knownFonts="1">
    <font>
      <sz val="10"/>
      <name val="Arial"/>
    </font>
    <font>
      <sz val="10"/>
      <name val="Arial"/>
      <family val="2"/>
    </font>
    <font>
      <b/>
      <sz val="11"/>
      <name val="Symbol"/>
      <family val="1"/>
      <charset val="2"/>
    </font>
    <font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indexed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vertAlign val="subscript"/>
      <sz val="1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Arial"/>
      <family val="2"/>
    </font>
    <font>
      <b/>
      <sz val="11"/>
      <color indexed="8"/>
      <name val="Calibri"/>
      <family val="2"/>
    </font>
    <font>
      <b/>
      <sz val="11"/>
      <color theme="1"/>
      <name val="Calibri"/>
      <family val="2"/>
    </font>
    <font>
      <b/>
      <sz val="16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vertAlign val="subscript"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173" fontId="1" fillId="0" borderId="0" applyFont="0" applyFill="0" applyBorder="0" applyAlignment="0" applyProtection="0"/>
  </cellStyleXfs>
  <cellXfs count="203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166" fontId="5" fillId="0" borderId="1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 applyProtection="1">
      <alignment horizontal="center" vertical="center"/>
    </xf>
    <xf numFmtId="169" fontId="5" fillId="0" borderId="1" xfId="0" applyNumberFormat="1" applyFont="1" applyBorder="1" applyAlignment="1">
      <alignment horizontal="center" vertical="center"/>
    </xf>
    <xf numFmtId="168" fontId="5" fillId="0" borderId="1" xfId="0" applyNumberFormat="1" applyFont="1" applyBorder="1" applyAlignment="1" applyProtection="1">
      <alignment horizontal="center" vertical="center"/>
    </xf>
    <xf numFmtId="164" fontId="5" fillId="0" borderId="1" xfId="0" applyNumberFormat="1" applyFont="1" applyBorder="1" applyAlignment="1">
      <alignment horizontal="center" vertical="center"/>
    </xf>
    <xf numFmtId="167" fontId="5" fillId="0" borderId="1" xfId="0" applyNumberFormat="1" applyFont="1" applyBorder="1" applyAlignment="1" applyProtection="1">
      <alignment horizontal="center" vertical="center"/>
    </xf>
    <xf numFmtId="2" fontId="5" fillId="0" borderId="1" xfId="0" applyNumberFormat="1" applyFont="1" applyBorder="1" applyAlignment="1" applyProtection="1">
      <alignment horizontal="center" vertical="center"/>
    </xf>
    <xf numFmtId="175" fontId="5" fillId="0" borderId="1" xfId="0" applyNumberFormat="1" applyFont="1" applyBorder="1" applyAlignment="1">
      <alignment horizontal="center" vertical="center"/>
    </xf>
    <xf numFmtId="164" fontId="5" fillId="0" borderId="1" xfId="0" applyNumberFormat="1" applyFont="1" applyFill="1" applyBorder="1" applyAlignment="1" applyProtection="1">
      <alignment horizontal="center" vertical="center"/>
    </xf>
    <xf numFmtId="169" fontId="5" fillId="0" borderId="1" xfId="0" applyNumberFormat="1" applyFont="1" applyBorder="1" applyAlignment="1" applyProtection="1">
      <alignment horizontal="center" vertical="center"/>
    </xf>
    <xf numFmtId="0" fontId="5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66" fontId="6" fillId="0" borderId="0" xfId="0" applyNumberFormat="1" applyFont="1" applyAlignment="1">
      <alignment horizontal="center" vertical="center"/>
    </xf>
    <xf numFmtId="164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167" fontId="6" fillId="0" borderId="0" xfId="0" applyNumberFormat="1" applyFont="1" applyAlignment="1">
      <alignment horizontal="center" vertical="center"/>
    </xf>
    <xf numFmtId="175" fontId="6" fillId="0" borderId="0" xfId="0" applyNumberFormat="1" applyFont="1" applyAlignment="1">
      <alignment horizontal="center" vertical="center"/>
    </xf>
    <xf numFmtId="166" fontId="6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/>
    </xf>
    <xf numFmtId="169" fontId="6" fillId="0" borderId="0" xfId="0" applyNumberFormat="1" applyFont="1" applyAlignment="1">
      <alignment horizontal="center"/>
    </xf>
    <xf numFmtId="168" fontId="6" fillId="0" borderId="0" xfId="0" applyNumberFormat="1" applyFont="1" applyAlignment="1">
      <alignment horizontal="center"/>
    </xf>
    <xf numFmtId="164" fontId="6" fillId="0" borderId="0" xfId="0" applyNumberFormat="1" applyFont="1" applyAlignment="1">
      <alignment horizontal="center"/>
    </xf>
    <xf numFmtId="167" fontId="6" fillId="0" borderId="0" xfId="0" applyNumberFormat="1" applyFont="1" applyAlignment="1">
      <alignment horizontal="center"/>
    </xf>
    <xf numFmtId="175" fontId="6" fillId="0" borderId="0" xfId="0" applyNumberFormat="1" applyFont="1" applyAlignment="1">
      <alignment horizontal="center"/>
    </xf>
    <xf numFmtId="0" fontId="6" fillId="0" borderId="0" xfId="0" applyFont="1" applyFill="1" applyAlignment="1">
      <alignment horizontal="center"/>
    </xf>
    <xf numFmtId="0" fontId="6" fillId="11" borderId="0" xfId="0" applyFont="1" applyFill="1" applyAlignment="1">
      <alignment horizontal="center"/>
    </xf>
    <xf numFmtId="14" fontId="6" fillId="11" borderId="0" xfId="0" applyNumberFormat="1" applyFont="1" applyFill="1" applyAlignment="1">
      <alignment horizontal="center"/>
    </xf>
    <xf numFmtId="166" fontId="6" fillId="11" borderId="0" xfId="0" applyNumberFormat="1" applyFont="1" applyFill="1" applyAlignment="1">
      <alignment horizontal="center"/>
    </xf>
    <xf numFmtId="0" fontId="6" fillId="11" borderId="0" xfId="0" applyFont="1" applyFill="1" applyAlignment="1">
      <alignment horizontal="center" vertical="center" wrapText="1"/>
    </xf>
    <xf numFmtId="0" fontId="6" fillId="0" borderId="0" xfId="0" applyFont="1"/>
    <xf numFmtId="14" fontId="6" fillId="0" borderId="0" xfId="0" applyNumberFormat="1" applyFont="1" applyFill="1" applyAlignment="1">
      <alignment horizontal="center"/>
    </xf>
    <xf numFmtId="166" fontId="6" fillId="0" borderId="0" xfId="0" applyNumberFormat="1" applyFont="1" applyFill="1" applyAlignment="1">
      <alignment horizontal="center"/>
    </xf>
    <xf numFmtId="164" fontId="6" fillId="0" borderId="0" xfId="0" applyNumberFormat="1" applyFont="1" applyFill="1" applyAlignment="1">
      <alignment horizontal="center"/>
    </xf>
    <xf numFmtId="169" fontId="5" fillId="0" borderId="1" xfId="0" applyNumberFormat="1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 vertical="center"/>
    </xf>
    <xf numFmtId="166" fontId="5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/>
    </xf>
    <xf numFmtId="2" fontId="7" fillId="0" borderId="2" xfId="0" applyNumberFormat="1" applyFont="1" applyFill="1" applyBorder="1" applyAlignment="1">
      <alignment horizontal="center" vertical="top"/>
    </xf>
    <xf numFmtId="169" fontId="5" fillId="0" borderId="2" xfId="0" applyNumberFormat="1" applyFont="1" applyBorder="1" applyAlignment="1">
      <alignment horizontal="center" vertical="center"/>
    </xf>
    <xf numFmtId="168" fontId="5" fillId="0" borderId="2" xfId="0" applyNumberFormat="1" applyFont="1" applyBorder="1" applyAlignment="1" applyProtection="1">
      <alignment horizontal="center" vertical="center"/>
    </xf>
    <xf numFmtId="167" fontId="5" fillId="0" borderId="2" xfId="0" applyNumberFormat="1" applyFont="1" applyBorder="1" applyAlignment="1" applyProtection="1">
      <alignment horizontal="center" vertical="center"/>
    </xf>
    <xf numFmtId="2" fontId="5" fillId="0" borderId="2" xfId="0" applyNumberFormat="1" applyFont="1" applyBorder="1" applyAlignment="1" applyProtection="1">
      <alignment horizontal="center" vertical="center"/>
    </xf>
    <xf numFmtId="175" fontId="5" fillId="0" borderId="2" xfId="0" applyNumberFormat="1" applyFont="1" applyBorder="1" applyAlignment="1">
      <alignment horizontal="center" vertical="center"/>
    </xf>
    <xf numFmtId="164" fontId="5" fillId="0" borderId="2" xfId="0" applyNumberFormat="1" applyFont="1" applyFill="1" applyBorder="1" applyAlignment="1">
      <alignment horizontal="center" vertical="center"/>
    </xf>
    <xf numFmtId="0" fontId="10" fillId="0" borderId="0" xfId="0" applyFont="1" applyBorder="1" applyAlignment="1">
      <alignment horizontal="center"/>
    </xf>
    <xf numFmtId="169" fontId="10" fillId="0" borderId="0" xfId="0" applyNumberFormat="1" applyFont="1" applyBorder="1" applyAlignment="1">
      <alignment horizontal="center"/>
    </xf>
    <xf numFmtId="164" fontId="10" fillId="0" borderId="0" xfId="0" applyNumberFormat="1" applyFont="1" applyBorder="1" applyAlignment="1">
      <alignment horizontal="center"/>
    </xf>
    <xf numFmtId="166" fontId="10" fillId="0" borderId="0" xfId="0" applyNumberFormat="1" applyFont="1" applyBorder="1" applyAlignment="1">
      <alignment horizontal="center"/>
    </xf>
    <xf numFmtId="0" fontId="10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11" borderId="0" xfId="0" applyFont="1" applyFill="1" applyBorder="1" applyAlignment="1">
      <alignment horizontal="center"/>
    </xf>
    <xf numFmtId="169" fontId="6" fillId="11" borderId="0" xfId="0" applyNumberFormat="1" applyFont="1" applyFill="1" applyBorder="1" applyAlignment="1">
      <alignment horizontal="center"/>
    </xf>
    <xf numFmtId="165" fontId="6" fillId="11" borderId="0" xfId="0" applyNumberFormat="1" applyFont="1" applyFill="1" applyBorder="1" applyAlignment="1">
      <alignment horizontal="center"/>
    </xf>
    <xf numFmtId="164" fontId="6" fillId="11" borderId="0" xfId="0" applyNumberFormat="1" applyFont="1" applyFill="1" applyBorder="1" applyAlignment="1">
      <alignment horizontal="center"/>
    </xf>
    <xf numFmtId="170" fontId="6" fillId="11" borderId="0" xfId="0" applyNumberFormat="1" applyFont="1" applyFill="1" applyBorder="1" applyAlignment="1" applyProtection="1">
      <alignment horizontal="center"/>
    </xf>
    <xf numFmtId="0" fontId="6" fillId="11" borderId="0" xfId="0" applyFont="1" applyFill="1" applyBorder="1" applyAlignment="1" applyProtection="1">
      <alignment horizontal="center"/>
    </xf>
    <xf numFmtId="170" fontId="6" fillId="11" borderId="0" xfId="0" applyNumberFormat="1" applyFont="1" applyFill="1" applyBorder="1" applyAlignment="1">
      <alignment horizontal="center"/>
    </xf>
    <xf numFmtId="171" fontId="6" fillId="11" borderId="0" xfId="0" applyNumberFormat="1" applyFont="1" applyFill="1" applyBorder="1" applyAlignment="1" applyProtection="1">
      <alignment horizontal="center"/>
    </xf>
    <xf numFmtId="171" fontId="6" fillId="11" borderId="0" xfId="0" applyNumberFormat="1" applyFont="1" applyFill="1" applyBorder="1" applyAlignment="1">
      <alignment horizontal="center"/>
    </xf>
    <xf numFmtId="165" fontId="6" fillId="11" borderId="0" xfId="0" applyNumberFormat="1" applyFont="1" applyFill="1" applyBorder="1" applyAlignment="1" applyProtection="1">
      <alignment horizontal="center"/>
    </xf>
    <xf numFmtId="168" fontId="6" fillId="11" borderId="0" xfId="0" applyNumberFormat="1" applyFont="1" applyFill="1" applyBorder="1" applyAlignment="1">
      <alignment horizontal="center"/>
    </xf>
    <xf numFmtId="1" fontId="6" fillId="11" borderId="0" xfId="0" applyNumberFormat="1" applyFont="1" applyFill="1" applyBorder="1" applyAlignment="1">
      <alignment horizontal="center"/>
    </xf>
    <xf numFmtId="2" fontId="6" fillId="11" borderId="0" xfId="0" applyNumberFormat="1" applyFont="1" applyFill="1" applyBorder="1" applyAlignment="1">
      <alignment horizontal="center"/>
    </xf>
    <xf numFmtId="167" fontId="10" fillId="11" borderId="0" xfId="0" applyNumberFormat="1" applyFont="1" applyFill="1" applyBorder="1" applyAlignment="1">
      <alignment horizontal="center"/>
    </xf>
    <xf numFmtId="0" fontId="10" fillId="11" borderId="0" xfId="0" applyFont="1" applyFill="1" applyBorder="1" applyAlignment="1">
      <alignment horizontal="center"/>
    </xf>
    <xf numFmtId="170" fontId="6" fillId="0" borderId="0" xfId="0" applyNumberFormat="1" applyFont="1" applyFill="1" applyBorder="1" applyAlignment="1">
      <alignment horizontal="center"/>
    </xf>
    <xf numFmtId="171" fontId="6" fillId="0" borderId="0" xfId="0" applyNumberFormat="1" applyFont="1" applyFill="1" applyBorder="1" applyAlignment="1">
      <alignment horizontal="center"/>
    </xf>
    <xf numFmtId="168" fontId="6" fillId="0" borderId="0" xfId="0" applyNumberFormat="1" applyFont="1" applyFill="1" applyBorder="1" applyAlignment="1">
      <alignment horizontal="center"/>
    </xf>
    <xf numFmtId="169" fontId="6" fillId="0" borderId="0" xfId="0" applyNumberFormat="1" applyFont="1" applyFill="1" applyBorder="1" applyAlignment="1">
      <alignment horizontal="center"/>
    </xf>
    <xf numFmtId="165" fontId="6" fillId="0" borderId="0" xfId="0" applyNumberFormat="1" applyFont="1" applyFill="1" applyBorder="1" applyAlignment="1">
      <alignment horizontal="center"/>
    </xf>
    <xf numFmtId="164" fontId="6" fillId="0" borderId="0" xfId="0" applyNumberFormat="1" applyFont="1" applyFill="1" applyBorder="1" applyAlignment="1">
      <alignment horizontal="center"/>
    </xf>
    <xf numFmtId="170" fontId="6" fillId="0" borderId="0" xfId="0" applyNumberFormat="1" applyFont="1" applyFill="1" applyBorder="1" applyAlignment="1" applyProtection="1">
      <alignment horizontal="center"/>
    </xf>
    <xf numFmtId="0" fontId="6" fillId="0" borderId="0" xfId="0" applyFont="1" applyFill="1" applyBorder="1" applyAlignment="1" applyProtection="1">
      <alignment horizontal="center"/>
    </xf>
    <xf numFmtId="171" fontId="6" fillId="0" borderId="0" xfId="0" applyNumberFormat="1" applyFont="1" applyFill="1" applyBorder="1" applyAlignment="1" applyProtection="1">
      <alignment horizontal="center"/>
    </xf>
    <xf numFmtId="165" fontId="6" fillId="0" borderId="0" xfId="0" applyNumberFormat="1" applyFont="1" applyFill="1" applyBorder="1" applyAlignment="1" applyProtection="1">
      <alignment horizontal="center"/>
    </xf>
    <xf numFmtId="1" fontId="6" fillId="0" borderId="0" xfId="0" applyNumberFormat="1" applyFon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167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172" fontId="10" fillId="0" borderId="0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169" fontId="10" fillId="0" borderId="0" xfId="0" applyNumberFormat="1" applyFont="1" applyAlignment="1">
      <alignment horizontal="center"/>
    </xf>
    <xf numFmtId="164" fontId="10" fillId="0" borderId="0" xfId="0" applyNumberFormat="1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5" fillId="0" borderId="3" xfId="0" applyFont="1" applyBorder="1" applyAlignment="1" applyProtection="1">
      <alignment horizontal="center"/>
    </xf>
    <xf numFmtId="169" fontId="5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 applyProtection="1">
      <alignment horizontal="center"/>
    </xf>
    <xf numFmtId="0" fontId="5" fillId="4" borderId="3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 vertical="center"/>
    </xf>
    <xf numFmtId="0" fontId="5" fillId="8" borderId="3" xfId="0" applyFont="1" applyFill="1" applyBorder="1" applyAlignment="1" applyProtection="1">
      <alignment horizontal="center"/>
    </xf>
    <xf numFmtId="0" fontId="5" fillId="0" borderId="3" xfId="0" applyFont="1" applyBorder="1" applyAlignment="1">
      <alignment horizontal="center"/>
    </xf>
    <xf numFmtId="0" fontId="5" fillId="9" borderId="3" xfId="0" applyFont="1" applyFill="1" applyBorder="1" applyAlignment="1" applyProtection="1">
      <alignment horizontal="center"/>
    </xf>
    <xf numFmtId="0" fontId="5" fillId="2" borderId="3" xfId="0" applyFont="1" applyFill="1" applyBorder="1" applyAlignment="1" applyProtection="1">
      <alignment horizontal="center"/>
    </xf>
    <xf numFmtId="0" fontId="5" fillId="4" borderId="3" xfId="0" applyFont="1" applyFill="1" applyBorder="1" applyAlignment="1" applyProtection="1">
      <alignment horizontal="center" vertical="center"/>
    </xf>
    <xf numFmtId="170" fontId="5" fillId="6" borderId="3" xfId="0" applyNumberFormat="1" applyFont="1" applyFill="1" applyBorder="1" applyAlignment="1" applyProtection="1">
      <alignment horizontal="center"/>
    </xf>
    <xf numFmtId="0" fontId="5" fillId="6" borderId="3" xfId="0" applyFont="1" applyFill="1" applyBorder="1" applyAlignment="1" applyProtection="1">
      <alignment horizontal="center"/>
    </xf>
    <xf numFmtId="0" fontId="5" fillId="7" borderId="3" xfId="0" applyFont="1" applyFill="1" applyBorder="1" applyAlignment="1" applyProtection="1">
      <alignment horizontal="center"/>
    </xf>
    <xf numFmtId="0" fontId="5" fillId="7" borderId="3" xfId="0" applyFont="1" applyFill="1" applyBorder="1" applyAlignment="1" applyProtection="1">
      <alignment vertical="center"/>
    </xf>
    <xf numFmtId="2" fontId="5" fillId="3" borderId="3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166" fontId="5" fillId="8" borderId="3" xfId="0" applyNumberFormat="1" applyFont="1" applyFill="1" applyBorder="1" applyAlignment="1">
      <alignment horizontal="center"/>
    </xf>
    <xf numFmtId="0" fontId="6" fillId="10" borderId="3" xfId="0" applyFont="1" applyFill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 applyProtection="1">
      <alignment horizontal="center"/>
    </xf>
    <xf numFmtId="164" fontId="5" fillId="0" borderId="4" xfId="0" applyNumberFormat="1" applyFont="1" applyBorder="1" applyAlignment="1" applyProtection="1">
      <alignment horizontal="center"/>
    </xf>
    <xf numFmtId="0" fontId="5" fillId="4" borderId="4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 vertical="center"/>
    </xf>
    <xf numFmtId="0" fontId="5" fillId="8" borderId="4" xfId="0" applyFont="1" applyFill="1" applyBorder="1" applyAlignment="1" applyProtection="1">
      <alignment horizontal="center"/>
    </xf>
    <xf numFmtId="0" fontId="5" fillId="9" borderId="4" xfId="0" applyFont="1" applyFill="1" applyBorder="1" applyAlignment="1" applyProtection="1">
      <alignment horizontal="center"/>
    </xf>
    <xf numFmtId="0" fontId="6" fillId="0" borderId="4" xfId="0" applyFont="1" applyBorder="1" applyAlignment="1">
      <alignment horizontal="center"/>
    </xf>
    <xf numFmtId="166" fontId="5" fillId="2" borderId="4" xfId="0" applyNumberFormat="1" applyFont="1" applyFill="1" applyBorder="1" applyAlignment="1" applyProtection="1">
      <alignment horizontal="center"/>
    </xf>
    <xf numFmtId="0" fontId="5" fillId="4" borderId="4" xfId="0" applyFont="1" applyFill="1" applyBorder="1" applyAlignment="1" applyProtection="1">
      <alignment horizontal="center" vertical="center"/>
    </xf>
    <xf numFmtId="170" fontId="5" fillId="6" borderId="4" xfId="0" applyNumberFormat="1" applyFont="1" applyFill="1" applyBorder="1" applyAlignment="1" applyProtection="1">
      <alignment horizontal="center"/>
    </xf>
    <xf numFmtId="0" fontId="5" fillId="6" borderId="4" xfId="0" applyFont="1" applyFill="1" applyBorder="1" applyAlignment="1" applyProtection="1">
      <alignment horizontal="center"/>
    </xf>
    <xf numFmtId="0" fontId="5" fillId="7" borderId="4" xfId="0" applyFont="1" applyFill="1" applyBorder="1" applyAlignment="1" applyProtection="1">
      <alignment horizontal="center"/>
    </xf>
    <xf numFmtId="0" fontId="5" fillId="7" borderId="4" xfId="0" applyFont="1" applyFill="1" applyBorder="1" applyAlignment="1" applyProtection="1">
      <alignment vertical="center"/>
    </xf>
    <xf numFmtId="2" fontId="5" fillId="3" borderId="4" xfId="0" applyNumberFormat="1" applyFont="1" applyFill="1" applyBorder="1" applyAlignment="1">
      <alignment horizontal="center"/>
    </xf>
    <xf numFmtId="0" fontId="5" fillId="3" borderId="4" xfId="0" applyFont="1" applyFill="1" applyBorder="1" applyAlignment="1">
      <alignment horizontal="center"/>
    </xf>
    <xf numFmtId="166" fontId="5" fillId="8" borderId="4" xfId="0" applyNumberFormat="1" applyFont="1" applyFill="1" applyBorder="1" applyAlignment="1">
      <alignment horizontal="center"/>
    </xf>
    <xf numFmtId="0" fontId="6" fillId="10" borderId="4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5" fillId="12" borderId="0" xfId="0" applyFont="1" applyFill="1" applyAlignment="1">
      <alignment horizontal="center"/>
    </xf>
    <xf numFmtId="0" fontId="5" fillId="12" borderId="0" xfId="0" applyFont="1" applyFill="1" applyBorder="1" applyAlignment="1">
      <alignment horizontal="center"/>
    </xf>
    <xf numFmtId="174" fontId="5" fillId="12" borderId="0" xfId="0" applyNumberFormat="1" applyFont="1" applyFill="1" applyAlignment="1"/>
    <xf numFmtId="169" fontId="5" fillId="12" borderId="0" xfId="0" applyNumberFormat="1" applyFont="1" applyFill="1" applyAlignment="1">
      <alignment horizontal="center"/>
    </xf>
    <xf numFmtId="0" fontId="4" fillId="0" borderId="0" xfId="0" applyFont="1"/>
    <xf numFmtId="0" fontId="11" fillId="0" borderId="0" xfId="0" applyFont="1" applyFill="1" applyBorder="1" applyAlignment="1">
      <alignment horizontal="left"/>
    </xf>
    <xf numFmtId="11" fontId="0" fillId="0" borderId="0" xfId="0" applyNumberFormat="1"/>
    <xf numFmtId="0" fontId="12" fillId="0" borderId="0" xfId="0" applyFont="1"/>
    <xf numFmtId="0" fontId="13" fillId="0" borderId="0" xfId="0" applyFont="1" applyAlignment="1">
      <alignment horizontal="center"/>
    </xf>
    <xf numFmtId="0" fontId="5" fillId="0" borderId="0" xfId="0" applyFont="1" applyFill="1" applyAlignment="1">
      <alignment horizontal="center"/>
    </xf>
    <xf numFmtId="169" fontId="5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right"/>
    </xf>
    <xf numFmtId="0" fontId="1" fillId="0" borderId="0" xfId="0" applyFont="1"/>
    <xf numFmtId="11" fontId="1" fillId="0" borderId="0" xfId="0" applyNumberFormat="1" applyFont="1"/>
    <xf numFmtId="10" fontId="6" fillId="0" borderId="0" xfId="0" applyNumberFormat="1" applyFont="1" applyFill="1" applyBorder="1" applyAlignment="1">
      <alignment horizontal="center"/>
    </xf>
    <xf numFmtId="0" fontId="5" fillId="13" borderId="3" xfId="0" applyFont="1" applyFill="1" applyBorder="1" applyAlignment="1" applyProtection="1">
      <alignment vertical="center"/>
    </xf>
    <xf numFmtId="0" fontId="5" fillId="13" borderId="4" xfId="0" applyFont="1" applyFill="1" applyBorder="1" applyAlignment="1" applyProtection="1">
      <alignment vertical="center"/>
    </xf>
    <xf numFmtId="0" fontId="14" fillId="0" borderId="0" xfId="0" applyFont="1" applyAlignment="1">
      <alignment horizontal="left" vertical="center"/>
    </xf>
    <xf numFmtId="10" fontId="6" fillId="11" borderId="0" xfId="0" applyNumberFormat="1" applyFont="1" applyFill="1" applyBorder="1" applyAlignment="1">
      <alignment horizontal="center"/>
    </xf>
    <xf numFmtId="174" fontId="5" fillId="0" borderId="0" xfId="0" applyNumberFormat="1" applyFont="1" applyFill="1" applyAlignment="1"/>
    <xf numFmtId="14" fontId="5" fillId="0" borderId="1" xfId="0" applyNumberFormat="1" applyFont="1" applyBorder="1" applyAlignment="1" applyProtection="1">
      <alignment horizontal="center" vertical="center"/>
    </xf>
    <xf numFmtId="14" fontId="5" fillId="0" borderId="2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14" fontId="6" fillId="0" borderId="0" xfId="0" applyNumberFormat="1" applyFont="1" applyAlignment="1">
      <alignment horizontal="center"/>
    </xf>
    <xf numFmtId="167" fontId="4" fillId="0" borderId="3" xfId="0" applyNumberFormat="1" applyFont="1" applyBorder="1" applyAlignment="1">
      <alignment horizontal="center" vertical="center" wrapText="1"/>
    </xf>
    <xf numFmtId="168" fontId="4" fillId="0" borderId="3" xfId="0" applyNumberFormat="1" applyFont="1" applyBorder="1" applyAlignment="1">
      <alignment horizontal="center" vertical="center" wrapText="1"/>
    </xf>
    <xf numFmtId="164" fontId="4" fillId="0" borderId="3" xfId="0" applyNumberFormat="1" applyFont="1" applyBorder="1" applyAlignment="1">
      <alignment horizontal="center" vertical="center" wrapText="1"/>
    </xf>
    <xf numFmtId="166" fontId="4" fillId="0" borderId="3" xfId="0" applyNumberFormat="1" applyFont="1" applyBorder="1" applyAlignment="1">
      <alignment horizontal="center" vertical="center" wrapText="1"/>
    </xf>
    <xf numFmtId="2" fontId="4" fillId="0" borderId="3" xfId="0" applyNumberFormat="1" applyFont="1" applyBorder="1" applyAlignment="1">
      <alignment horizontal="center" vertical="center" wrapText="1"/>
    </xf>
    <xf numFmtId="167" fontId="4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4" fontId="4" fillId="0" borderId="4" xfId="0" applyNumberFormat="1" applyFont="1" applyBorder="1" applyAlignment="1">
      <alignment horizontal="center" vertical="center"/>
    </xf>
    <xf numFmtId="166" fontId="4" fillId="0" borderId="4" xfId="0" applyNumberFormat="1" applyFont="1" applyBorder="1" applyAlignment="1">
      <alignment horizontal="center" vertical="center"/>
    </xf>
    <xf numFmtId="2" fontId="4" fillId="0" borderId="4" xfId="0" applyNumberFormat="1" applyFont="1" applyBorder="1" applyAlignment="1">
      <alignment horizontal="center" vertical="center"/>
    </xf>
    <xf numFmtId="176" fontId="4" fillId="0" borderId="3" xfId="0" applyNumberFormat="1" applyFont="1" applyBorder="1" applyAlignment="1">
      <alignment horizontal="center" vertical="center" wrapText="1"/>
    </xf>
    <xf numFmtId="176" fontId="4" fillId="0" borderId="4" xfId="0" applyNumberFormat="1" applyFont="1" applyBorder="1" applyAlignment="1">
      <alignment horizontal="center" vertical="center"/>
    </xf>
    <xf numFmtId="176" fontId="6" fillId="0" borderId="0" xfId="0" applyNumberFormat="1" applyFont="1" applyAlignment="1">
      <alignment horizontal="center"/>
    </xf>
    <xf numFmtId="170" fontId="5" fillId="12" borderId="0" xfId="0" applyNumberFormat="1" applyFont="1" applyFill="1" applyBorder="1" applyAlignment="1" applyProtection="1">
      <alignment horizontal="center"/>
    </xf>
    <xf numFmtId="171" fontId="5" fillId="12" borderId="0" xfId="0" applyNumberFormat="1" applyFont="1" applyFill="1" applyBorder="1" applyAlignment="1" applyProtection="1">
      <alignment horizontal="center"/>
    </xf>
    <xf numFmtId="171" fontId="5" fillId="12" borderId="0" xfId="0" applyNumberFormat="1" applyFont="1" applyFill="1" applyBorder="1" applyAlignment="1">
      <alignment horizontal="center"/>
    </xf>
    <xf numFmtId="170" fontId="5" fillId="12" borderId="0" xfId="0" applyNumberFormat="1" applyFont="1" applyFill="1" applyBorder="1" applyAlignment="1">
      <alignment horizontal="center"/>
    </xf>
    <xf numFmtId="165" fontId="5" fillId="12" borderId="0" xfId="0" applyNumberFormat="1" applyFont="1" applyFill="1" applyBorder="1" applyAlignment="1" applyProtection="1">
      <alignment horizontal="center"/>
    </xf>
    <xf numFmtId="0" fontId="5" fillId="12" borderId="0" xfId="0" applyFont="1" applyFill="1" applyBorder="1" applyAlignment="1" applyProtection="1">
      <alignment horizontal="center"/>
    </xf>
    <xf numFmtId="168" fontId="5" fillId="12" borderId="0" xfId="0" applyNumberFormat="1" applyFont="1" applyFill="1" applyBorder="1" applyAlignment="1">
      <alignment horizontal="center"/>
    </xf>
    <xf numFmtId="1" fontId="5" fillId="12" borderId="0" xfId="0" applyNumberFormat="1" applyFont="1" applyFill="1" applyBorder="1" applyAlignment="1">
      <alignment horizontal="center"/>
    </xf>
    <xf numFmtId="2" fontId="5" fillId="12" borderId="0" xfId="0" applyNumberFormat="1" applyFont="1" applyFill="1" applyBorder="1" applyAlignment="1">
      <alignment horizontal="center"/>
    </xf>
    <xf numFmtId="167" fontId="19" fillId="12" borderId="0" xfId="0" applyNumberFormat="1" applyFont="1" applyFill="1" applyBorder="1" applyAlignment="1">
      <alignment horizontal="center"/>
    </xf>
    <xf numFmtId="0" fontId="19" fillId="12" borderId="0" xfId="0" applyFont="1" applyFill="1" applyBorder="1" applyAlignment="1">
      <alignment horizontal="center"/>
    </xf>
    <xf numFmtId="172" fontId="19" fillId="12" borderId="0" xfId="0" applyNumberFormat="1" applyFont="1" applyFill="1" applyBorder="1" applyAlignment="1">
      <alignment horizontal="center"/>
    </xf>
    <xf numFmtId="0" fontId="19" fillId="12" borderId="0" xfId="0" applyFont="1" applyFill="1" applyAlignment="1">
      <alignment horizontal="center"/>
    </xf>
    <xf numFmtId="0" fontId="18" fillId="12" borderId="0" xfId="0" applyFont="1" applyFill="1" applyBorder="1" applyAlignment="1">
      <alignment horizontal="left"/>
    </xf>
    <xf numFmtId="169" fontId="0" fillId="12" borderId="0" xfId="0" applyNumberFormat="1" applyFill="1"/>
    <xf numFmtId="0" fontId="1" fillId="12" borderId="0" xfId="0" applyFont="1" applyFill="1"/>
    <xf numFmtId="178" fontId="0" fillId="0" borderId="0" xfId="0" applyNumberFormat="1"/>
    <xf numFmtId="164" fontId="1" fillId="12" borderId="0" xfId="0" applyNumberFormat="1" applyFont="1" applyFill="1"/>
    <xf numFmtId="0" fontId="6" fillId="0" borderId="3" xfId="0" applyFont="1" applyFill="1" applyBorder="1" applyAlignment="1">
      <alignment horizontal="center"/>
    </xf>
    <xf numFmtId="0" fontId="6" fillId="0" borderId="4" xfId="0" applyFont="1" applyFill="1" applyBorder="1" applyAlignment="1">
      <alignment horizontal="center"/>
    </xf>
    <xf numFmtId="164" fontId="4" fillId="14" borderId="3" xfId="0" applyNumberFormat="1" applyFont="1" applyFill="1" applyBorder="1" applyAlignment="1">
      <alignment horizontal="center" vertical="center" wrapText="1"/>
    </xf>
    <xf numFmtId="167" fontId="4" fillId="14" borderId="3" xfId="0" applyNumberFormat="1" applyFont="1" applyFill="1" applyBorder="1" applyAlignment="1">
      <alignment horizontal="center" vertical="center" wrapText="1"/>
    </xf>
    <xf numFmtId="164" fontId="4" fillId="14" borderId="4" xfId="0" applyNumberFormat="1" applyFont="1" applyFill="1" applyBorder="1" applyAlignment="1">
      <alignment horizontal="center" vertical="center"/>
    </xf>
    <xf numFmtId="0" fontId="6" fillId="14" borderId="0" xfId="0" applyFont="1" applyFill="1" applyAlignment="1">
      <alignment horizontal="center"/>
    </xf>
    <xf numFmtId="0" fontId="5" fillId="14" borderId="0" xfId="0" applyFont="1" applyFill="1" applyAlignment="1">
      <alignment horizontal="center"/>
    </xf>
    <xf numFmtId="178" fontId="0" fillId="12" borderId="0" xfId="0" applyNumberFormat="1" applyFill="1"/>
    <xf numFmtId="164" fontId="5" fillId="0" borderId="0" xfId="0" applyNumberFormat="1" applyFont="1" applyFill="1" applyAlignment="1">
      <alignment horizontal="center"/>
    </xf>
    <xf numFmtId="164" fontId="1" fillId="15" borderId="0" xfId="0" applyNumberFormat="1" applyFont="1" applyFill="1"/>
    <xf numFmtId="178" fontId="0" fillId="15" borderId="0" xfId="0" applyNumberFormat="1" applyFill="1"/>
    <xf numFmtId="0" fontId="1" fillId="15" borderId="0" xfId="0" applyFont="1" applyFill="1"/>
    <xf numFmtId="169" fontId="0" fillId="15" borderId="0" xfId="0" applyNumberFormat="1" applyFill="1"/>
    <xf numFmtId="164" fontId="0" fillId="0" borderId="0" xfId="0" applyNumberFormat="1" applyFill="1"/>
    <xf numFmtId="178" fontId="0" fillId="0" borderId="0" xfId="0" applyNumberFormat="1" applyFill="1"/>
    <xf numFmtId="0" fontId="1" fillId="0" borderId="0" xfId="0" applyFont="1" applyFill="1"/>
    <xf numFmtId="169" fontId="0" fillId="0" borderId="0" xfId="0" applyNumberFormat="1" applyFill="1"/>
    <xf numFmtId="169" fontId="5" fillId="16" borderId="0" xfId="0" applyNumberFormat="1" applyFont="1" applyFill="1" applyAlignment="1">
      <alignment horizontal="center"/>
    </xf>
  </cellXfs>
  <cellStyles count="2">
    <cellStyle name="Euro" xfId="1"/>
    <cellStyle name="Stand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>
    <tabColor indexed="32"/>
  </sheetPr>
  <dimension ref="A1:AB31"/>
  <sheetViews>
    <sheetView zoomScaleNormal="100" workbookViewId="0">
      <pane ySplit="2" topLeftCell="A3" activePane="bottomLeft" state="frozen"/>
      <selection activeCell="B1" sqref="B1"/>
      <selection pane="bottomLeft" activeCell="E29" sqref="E29"/>
    </sheetView>
  </sheetViews>
  <sheetFormatPr baseColWidth="10" defaultRowHeight="15" x14ac:dyDescent="0.25"/>
  <cols>
    <col min="1" max="1" width="18" style="14" customWidth="1"/>
    <col min="2" max="2" width="19.5703125" style="14" customWidth="1"/>
    <col min="3" max="3" width="16.85546875" style="14" customWidth="1"/>
    <col min="4" max="4" width="13.28515625" style="153" customWidth="1"/>
    <col min="5" max="5" width="13" style="24" bestFit="1" customWidth="1"/>
    <col min="6" max="6" width="11.5703125" style="14" bestFit="1" customWidth="1"/>
    <col min="7" max="7" width="11.5703125" style="28" bestFit="1" customWidth="1"/>
    <col min="8" max="8" width="18.42578125" style="28" bestFit="1" customWidth="1"/>
    <col min="9" max="9" width="11.5703125" style="28" customWidth="1"/>
    <col min="10" max="10" width="11.42578125" style="25"/>
    <col min="11" max="11" width="11.7109375" style="28" bestFit="1" customWidth="1"/>
    <col min="12" max="12" width="10.7109375" style="27" bestFit="1" customWidth="1"/>
    <col min="13" max="14" width="10.7109375" style="27" customWidth="1"/>
    <col min="15" max="15" width="12.7109375" style="28" bestFit="1" customWidth="1"/>
    <col min="16" max="16" width="13.140625" style="25" customWidth="1"/>
    <col min="17" max="17" width="13.140625" style="26" customWidth="1"/>
    <col min="18" max="18" width="13.140625" style="29" customWidth="1"/>
    <col min="19" max="19" width="13.140625" style="30" customWidth="1"/>
    <col min="20" max="20" width="11.42578125" style="14"/>
    <col min="21" max="21" width="15" style="28" customWidth="1"/>
    <col min="22" max="22" width="13.85546875" style="25" customWidth="1"/>
    <col min="23" max="23" width="16.85546875" style="28" customWidth="1"/>
    <col min="24" max="24" width="13.7109375" style="25" customWidth="1"/>
    <col min="25" max="25" width="14.28515625" style="26" customWidth="1"/>
    <col min="26" max="26" width="14" style="25" customWidth="1"/>
    <col min="27" max="27" width="15.28515625" style="14" bestFit="1" customWidth="1"/>
    <col min="28" max="16384" width="11.42578125" style="14"/>
  </cols>
  <sheetData>
    <row r="1" spans="1:28" s="13" customFormat="1" x14ac:dyDescent="0.25">
      <c r="A1" s="1" t="s">
        <v>53</v>
      </c>
      <c r="B1" s="1" t="s">
        <v>0</v>
      </c>
      <c r="C1" s="1" t="s">
        <v>54</v>
      </c>
      <c r="D1" s="150" t="s">
        <v>55</v>
      </c>
      <c r="E1" s="2" t="s">
        <v>2</v>
      </c>
      <c r="F1" s="1" t="s">
        <v>3</v>
      </c>
      <c r="G1" s="3" t="s">
        <v>81</v>
      </c>
      <c r="H1" s="3"/>
      <c r="I1" s="40" t="s">
        <v>70</v>
      </c>
      <c r="J1" s="41" t="s">
        <v>71</v>
      </c>
      <c r="K1" s="4" t="s">
        <v>82</v>
      </c>
      <c r="L1" s="5" t="s">
        <v>4</v>
      </c>
      <c r="M1" s="6" t="s">
        <v>41</v>
      </c>
      <c r="N1" s="7" t="s">
        <v>4</v>
      </c>
      <c r="O1" s="3" t="s">
        <v>5</v>
      </c>
      <c r="P1" s="8" t="s">
        <v>6</v>
      </c>
      <c r="Q1" s="4" t="s">
        <v>73</v>
      </c>
      <c r="R1" s="7" t="s">
        <v>4</v>
      </c>
      <c r="S1" s="9" t="s">
        <v>7</v>
      </c>
      <c r="T1" s="7" t="s">
        <v>4</v>
      </c>
      <c r="U1" s="10" t="s">
        <v>8</v>
      </c>
      <c r="V1" s="8" t="s">
        <v>6</v>
      </c>
      <c r="W1" s="3" t="s">
        <v>9</v>
      </c>
      <c r="X1" s="8" t="s">
        <v>6</v>
      </c>
      <c r="Y1" s="11" t="s">
        <v>10</v>
      </c>
      <c r="Z1" s="8" t="s">
        <v>6</v>
      </c>
      <c r="AA1" s="15" t="s">
        <v>11</v>
      </c>
      <c r="AB1" s="12"/>
    </row>
    <row r="2" spans="1:28" s="13" customFormat="1" ht="15.75" thickBot="1" x14ac:dyDescent="0.3">
      <c r="A2" s="42"/>
      <c r="B2" s="42"/>
      <c r="C2" s="42" t="s">
        <v>1</v>
      </c>
      <c r="D2" s="151"/>
      <c r="E2" s="43" t="s">
        <v>12</v>
      </c>
      <c r="F2" s="42" t="s">
        <v>43</v>
      </c>
      <c r="G2" s="44" t="s">
        <v>43</v>
      </c>
      <c r="H2" s="44"/>
      <c r="I2" s="45"/>
      <c r="J2" s="46"/>
      <c r="K2" s="47" t="s">
        <v>14</v>
      </c>
      <c r="L2" s="48" t="s">
        <v>13</v>
      </c>
      <c r="M2" s="44" t="s">
        <v>14</v>
      </c>
      <c r="N2" s="49" t="s">
        <v>13</v>
      </c>
      <c r="O2" s="44" t="s">
        <v>15</v>
      </c>
      <c r="P2" s="50" t="s">
        <v>16</v>
      </c>
      <c r="Q2" s="47" t="s">
        <v>14</v>
      </c>
      <c r="R2" s="49" t="s">
        <v>13</v>
      </c>
      <c r="S2" s="51" t="s">
        <v>14</v>
      </c>
      <c r="T2" s="49" t="s">
        <v>13</v>
      </c>
      <c r="U2" s="52"/>
      <c r="V2" s="50" t="s">
        <v>17</v>
      </c>
      <c r="W2" s="44"/>
      <c r="X2" s="50" t="s">
        <v>17</v>
      </c>
      <c r="Y2" s="47"/>
      <c r="Z2" s="50" t="s">
        <v>17</v>
      </c>
      <c r="AA2" s="42"/>
    </row>
    <row r="3" spans="1:28" ht="15.75" thickTop="1" x14ac:dyDescent="0.25">
      <c r="A3" s="16"/>
      <c r="B3" s="16"/>
      <c r="C3" s="16"/>
      <c r="D3" s="152"/>
      <c r="E3" s="17"/>
      <c r="F3" s="16"/>
      <c r="G3" s="18"/>
      <c r="H3" s="18"/>
      <c r="I3" s="18"/>
      <c r="J3" s="19"/>
      <c r="K3" s="18"/>
      <c r="L3" s="20"/>
      <c r="M3" s="20"/>
      <c r="N3" s="20"/>
      <c r="O3" s="18"/>
      <c r="P3" s="19"/>
      <c r="Q3" s="21"/>
      <c r="R3" s="22"/>
      <c r="S3" s="23"/>
      <c r="T3" s="16"/>
      <c r="U3" s="18"/>
      <c r="V3" s="19"/>
      <c r="W3" s="18"/>
      <c r="X3" s="19"/>
      <c r="Y3" s="21"/>
      <c r="Z3" s="19"/>
      <c r="AA3" s="16"/>
    </row>
    <row r="7" spans="1:28" s="31" customFormat="1" x14ac:dyDescent="0.25">
      <c r="A7" s="32">
        <v>10073</v>
      </c>
      <c r="B7" s="32" t="s">
        <v>79</v>
      </c>
      <c r="C7" s="32" t="s">
        <v>72</v>
      </c>
      <c r="D7" s="33">
        <v>43614</v>
      </c>
      <c r="E7" s="34"/>
      <c r="F7" s="35">
        <v>1.1066</v>
      </c>
      <c r="G7" s="35">
        <v>10.36739</v>
      </c>
      <c r="H7" s="36" t="s">
        <v>120</v>
      </c>
      <c r="I7" s="36">
        <v>1.0057232383607954E-2</v>
      </c>
      <c r="J7" s="36">
        <v>1.0605255291188866</v>
      </c>
      <c r="K7" s="36">
        <v>7.148237655755423E-3</v>
      </c>
      <c r="L7" s="36">
        <v>8.1762136720521482E-3</v>
      </c>
      <c r="M7" s="36">
        <v>2.71999724864878</v>
      </c>
      <c r="N7" s="36">
        <v>1.3232865018051237E-2</v>
      </c>
      <c r="O7" s="36">
        <v>2.0479949999551081</v>
      </c>
      <c r="P7" s="36">
        <v>1.0510337063813109</v>
      </c>
      <c r="Q7" s="36">
        <v>7.5622674794999928E-3</v>
      </c>
      <c r="R7" s="36">
        <v>0.21452343247054922</v>
      </c>
      <c r="S7" s="36">
        <v>5.4846334734299811E-5</v>
      </c>
      <c r="T7" s="36">
        <v>0.21452343247054961</v>
      </c>
      <c r="U7" s="36">
        <v>1.3124043988551568</v>
      </c>
      <c r="V7" s="36">
        <v>0.25180176428939505</v>
      </c>
      <c r="W7" s="36">
        <v>0.18874860013327724</v>
      </c>
      <c r="X7" s="36">
        <v>0.63429026610944328</v>
      </c>
      <c r="Y7" s="36">
        <v>0.24709410252129801</v>
      </c>
      <c r="Z7" s="36">
        <v>0.45894166813553294</v>
      </c>
    </row>
    <row r="8" spans="1:28" s="31" customFormat="1" x14ac:dyDescent="0.25">
      <c r="A8" s="31">
        <v>10176</v>
      </c>
      <c r="B8" s="31" t="s">
        <v>121</v>
      </c>
      <c r="C8" s="31" t="s">
        <v>83</v>
      </c>
      <c r="D8" s="37">
        <v>43614</v>
      </c>
      <c r="E8" s="38"/>
      <c r="F8" s="31">
        <v>0.18848000000000001</v>
      </c>
      <c r="G8" s="39">
        <v>9.9909999999999499E-2</v>
      </c>
      <c r="H8" s="36" t="s">
        <v>122</v>
      </c>
      <c r="I8" s="36">
        <v>1.0023123051966032E-2</v>
      </c>
      <c r="J8" s="36">
        <v>0.30926118587055834</v>
      </c>
      <c r="K8" s="36">
        <v>7.1451108621691578E-3</v>
      </c>
      <c r="L8" s="36">
        <v>7.5808365714145239E-3</v>
      </c>
      <c r="M8" s="36">
        <v>0.86089128897677636</v>
      </c>
      <c r="N8" s="36">
        <v>7.1529379311291007E-3</v>
      </c>
      <c r="O8" s="36">
        <v>0.82829198158537787</v>
      </c>
      <c r="P8" s="36">
        <v>0.33969507023147283</v>
      </c>
      <c r="Q8" s="36">
        <v>9.6431833047878456E-3</v>
      </c>
      <c r="R8" s="36">
        <v>0.12560630759422062</v>
      </c>
      <c r="S8" s="36">
        <v>6.9938449132134567E-5</v>
      </c>
      <c r="T8" s="36">
        <v>0.12560630759422084</v>
      </c>
      <c r="U8" s="36">
        <v>0.36521589297355844</v>
      </c>
      <c r="V8" s="36">
        <v>0.20440219365048762</v>
      </c>
      <c r="W8" s="36">
        <v>2.918341571593978E-3</v>
      </c>
      <c r="X8" s="36">
        <v>0.16086833538413675</v>
      </c>
      <c r="Y8" s="36">
        <v>1.0660788686959236E-3</v>
      </c>
      <c r="Z8" s="36">
        <v>0.17377655180457002</v>
      </c>
    </row>
    <row r="9" spans="1:28" s="31" customFormat="1" x14ac:dyDescent="0.25">
      <c r="A9" s="32">
        <v>10073</v>
      </c>
      <c r="B9" s="32" t="s">
        <v>79</v>
      </c>
      <c r="C9" s="32" t="s">
        <v>72</v>
      </c>
      <c r="D9" s="33">
        <v>43614</v>
      </c>
      <c r="E9" s="34"/>
      <c r="F9" s="35">
        <v>1.1066</v>
      </c>
      <c r="G9" s="35">
        <v>10.36739</v>
      </c>
      <c r="H9" s="36" t="s">
        <v>123</v>
      </c>
      <c r="I9" s="36">
        <v>1.0023849274299503E-2</v>
      </c>
      <c r="J9" s="36">
        <v>0.94192842658032749</v>
      </c>
      <c r="K9" s="36">
        <v>7.1486912069941557E-3</v>
      </c>
      <c r="L9" s="36">
        <v>7.6384051124944036E-3</v>
      </c>
      <c r="M9" s="36">
        <v>2.7200163727276125</v>
      </c>
      <c r="N9" s="36">
        <v>1.59515555717934E-2</v>
      </c>
      <c r="O9" s="36">
        <v>2.0489439287052078</v>
      </c>
      <c r="P9" s="36">
        <v>0.9941108839833499</v>
      </c>
      <c r="Q9" s="36">
        <v>7.5586851752594475E-3</v>
      </c>
      <c r="R9" s="36">
        <v>0.11723956658476734</v>
      </c>
      <c r="S9" s="36">
        <v>5.4820353603900813E-5</v>
      </c>
      <c r="T9" s="36">
        <v>0.11723956658476731</v>
      </c>
      <c r="U9" s="36">
        <v>1.3214779052581116</v>
      </c>
      <c r="V9" s="36">
        <v>0.36135492171404576</v>
      </c>
      <c r="W9" s="36">
        <v>0.18647754507965486</v>
      </c>
      <c r="X9" s="36">
        <v>0.6197122853385828</v>
      </c>
      <c r="Y9" s="36">
        <v>0.24651247564573325</v>
      </c>
      <c r="Z9" s="36">
        <v>0.50521674310348119</v>
      </c>
    </row>
    <row r="10" spans="1:28" s="31" customFormat="1" x14ac:dyDescent="0.25">
      <c r="A10" s="31">
        <v>10177</v>
      </c>
      <c r="B10" s="31" t="s">
        <v>124</v>
      </c>
      <c r="C10" s="31" t="s">
        <v>83</v>
      </c>
      <c r="D10" s="37">
        <v>43614</v>
      </c>
      <c r="E10" s="38"/>
      <c r="F10" s="31">
        <v>0.17845</v>
      </c>
      <c r="G10" s="39">
        <v>9.6470000000000056E-2</v>
      </c>
      <c r="H10" s="36" t="s">
        <v>125</v>
      </c>
      <c r="I10" s="36">
        <v>1.0063414044618683E-2</v>
      </c>
      <c r="J10" s="36">
        <v>0.27993120719075903</v>
      </c>
      <c r="K10" s="36">
        <v>7.1449777821325187E-3</v>
      </c>
      <c r="L10" s="36">
        <v>1.0835044540187532E-2</v>
      </c>
      <c r="M10" s="36">
        <v>0.38833763537914062</v>
      </c>
      <c r="N10" s="36">
        <v>1.0835300332822359E-2</v>
      </c>
      <c r="O10" s="36">
        <v>0.3284935961074299</v>
      </c>
      <c r="P10" s="36">
        <v>0.4083450056678003</v>
      </c>
      <c r="Q10" s="36">
        <v>8.507753361486077E-3</v>
      </c>
      <c r="R10" s="36">
        <v>0.33419732946446062</v>
      </c>
      <c r="S10" s="36">
        <v>6.1703594849805822E-5</v>
      </c>
      <c r="T10" s="36">
        <v>0.33419732946446085</v>
      </c>
      <c r="U10" s="36">
        <v>0.19381890516207911</v>
      </c>
      <c r="V10" s="36">
        <v>0.54795089130832841</v>
      </c>
      <c r="W10" s="36">
        <v>1.1759461698851935E-2</v>
      </c>
      <c r="X10" s="36">
        <v>0.26224248912920989</v>
      </c>
      <c r="Y10" s="36">
        <v>2.2770698228840557E-3</v>
      </c>
      <c r="Z10" s="36">
        <v>0.34032475691521175</v>
      </c>
    </row>
    <row r="11" spans="1:28" s="31" customFormat="1" x14ac:dyDescent="0.25">
      <c r="A11" s="32">
        <v>10073</v>
      </c>
      <c r="B11" s="32" t="s">
        <v>79</v>
      </c>
      <c r="C11" s="32" t="s">
        <v>72</v>
      </c>
      <c r="D11" s="33">
        <v>43614</v>
      </c>
      <c r="E11" s="34"/>
      <c r="F11" s="35">
        <v>1.1066</v>
      </c>
      <c r="G11" s="35">
        <v>10.36739</v>
      </c>
      <c r="H11" s="36" t="s">
        <v>126</v>
      </c>
      <c r="I11" s="36">
        <v>1.0006751382084733E-2</v>
      </c>
      <c r="J11" s="36">
        <v>1.035379034711043</v>
      </c>
      <c r="K11" s="36">
        <v>7.1468280719748931E-3</v>
      </c>
      <c r="L11" s="36">
        <v>7.232225366228473E-3</v>
      </c>
      <c r="M11" s="36">
        <v>2.7190779543453574</v>
      </c>
      <c r="N11" s="36">
        <v>1.4089597697729446E-2</v>
      </c>
      <c r="O11" s="36">
        <v>2.064133700823215</v>
      </c>
      <c r="P11" s="36">
        <v>0.96420372604936277</v>
      </c>
      <c r="Q11" s="36">
        <v>7.5714569231187636E-3</v>
      </c>
      <c r="R11" s="36">
        <v>0.22965855588808834</v>
      </c>
      <c r="S11" s="36">
        <v>5.4912982376968271E-5</v>
      </c>
      <c r="T11" s="36">
        <v>0.22965855588808884</v>
      </c>
      <c r="U11" s="36">
        <v>1.3182538581673469</v>
      </c>
      <c r="V11" s="36">
        <v>0.26104801648959136</v>
      </c>
      <c r="W11" s="36">
        <v>0.18831753830740233</v>
      </c>
      <c r="X11" s="36">
        <v>0.69945383370896064</v>
      </c>
      <c r="Y11" s="36">
        <v>0.24741642616696877</v>
      </c>
      <c r="Z11" s="36">
        <v>0.55956418699369614</v>
      </c>
    </row>
    <row r="12" spans="1:28" s="31" customFormat="1" x14ac:dyDescent="0.25">
      <c r="A12" s="31">
        <v>10178</v>
      </c>
      <c r="B12" s="31" t="s">
        <v>127</v>
      </c>
      <c r="C12" s="31" t="s">
        <v>83</v>
      </c>
      <c r="D12" s="37">
        <v>43614</v>
      </c>
      <c r="E12" s="38"/>
      <c r="F12" s="31">
        <v>0.15214</v>
      </c>
      <c r="G12" s="39">
        <v>9.8030000000001394E-2</v>
      </c>
      <c r="H12" s="36" t="s">
        <v>128</v>
      </c>
      <c r="I12" s="36">
        <v>1.0101399322311995E-2</v>
      </c>
      <c r="J12" s="36">
        <v>0.32667388450994828</v>
      </c>
      <c r="K12" s="36">
        <v>7.1442242271505451E-3</v>
      </c>
      <c r="L12" s="36">
        <v>1.0625216998246811E-2</v>
      </c>
      <c r="M12" s="36">
        <v>0.47591194824226496</v>
      </c>
      <c r="N12" s="36">
        <v>8.7105800075671369E-3</v>
      </c>
      <c r="O12" s="36">
        <v>0.40520132007475346</v>
      </c>
      <c r="P12" s="36">
        <v>0.47963858767184886</v>
      </c>
      <c r="Q12" s="36">
        <v>8.6027870336445305E-3</v>
      </c>
      <c r="R12" s="36">
        <v>0.28296765743554642</v>
      </c>
      <c r="S12" s="36">
        <v>6.2392838996268735E-5</v>
      </c>
      <c r="T12" s="36">
        <v>0.28296765743554664</v>
      </c>
      <c r="U12" s="36">
        <v>0.23619288411877157</v>
      </c>
      <c r="V12" s="36">
        <v>0.18109123807598249</v>
      </c>
      <c r="W12" s="36">
        <v>2.0525485198373485E-3</v>
      </c>
      <c r="X12" s="36">
        <v>0.16729840398246973</v>
      </c>
      <c r="Y12" s="36">
        <v>4.8500995073068234E-4</v>
      </c>
      <c r="Z12" s="36">
        <v>0.15213190272996502</v>
      </c>
    </row>
    <row r="13" spans="1:28" s="31" customFormat="1" x14ac:dyDescent="0.25">
      <c r="A13" s="32">
        <v>10073</v>
      </c>
      <c r="B13" s="32" t="s">
        <v>79</v>
      </c>
      <c r="C13" s="32" t="s">
        <v>72</v>
      </c>
      <c r="D13" s="33">
        <v>43614</v>
      </c>
      <c r="E13" s="34"/>
      <c r="F13" s="35">
        <v>1.1066</v>
      </c>
      <c r="G13" s="35">
        <v>10.36739</v>
      </c>
      <c r="H13" s="36" t="s">
        <v>129</v>
      </c>
      <c r="I13" s="36">
        <v>9.8242658694538011E-3</v>
      </c>
      <c r="J13" s="36">
        <v>1.1866583959356414</v>
      </c>
      <c r="K13" s="36">
        <v>7.1461622048854621E-3</v>
      </c>
      <c r="L13" s="36">
        <v>7.2171396028476381E-3</v>
      </c>
      <c r="M13" s="36">
        <v>2.7195819564194865</v>
      </c>
      <c r="N13" s="36">
        <v>1.473799804596993E-2</v>
      </c>
      <c r="O13" s="36">
        <v>2.0967695686827805</v>
      </c>
      <c r="P13" s="36">
        <v>1.2626825709063272</v>
      </c>
      <c r="Q13" s="36">
        <v>7.5921909758353157E-3</v>
      </c>
      <c r="R13" s="36">
        <v>0.24225127193318474</v>
      </c>
      <c r="S13" s="36">
        <v>5.5063358808213723E-5</v>
      </c>
      <c r="T13" s="36">
        <v>0.24225127193318619</v>
      </c>
      <c r="U13" s="36">
        <v>1.3145720305613398</v>
      </c>
      <c r="V13" s="36">
        <v>0.26052161046905309</v>
      </c>
      <c r="W13" s="36">
        <v>0.1882818014015098</v>
      </c>
      <c r="X13" s="36">
        <v>0.42682518160694533</v>
      </c>
      <c r="Y13" s="36">
        <v>0.24816490440626962</v>
      </c>
      <c r="Z13" s="36">
        <v>0.42225611489265324</v>
      </c>
    </row>
    <row r="14" spans="1:28" s="31" customFormat="1" x14ac:dyDescent="0.25">
      <c r="A14" s="31">
        <v>10179</v>
      </c>
      <c r="B14" s="31" t="s">
        <v>130</v>
      </c>
      <c r="C14" s="31" t="s">
        <v>83</v>
      </c>
      <c r="D14" s="37">
        <v>43614</v>
      </c>
      <c r="E14" s="38"/>
      <c r="F14" s="31">
        <v>0.18156</v>
      </c>
      <c r="G14" s="39">
        <v>9.5370000000000843E-2</v>
      </c>
      <c r="H14" s="36" t="s">
        <v>131</v>
      </c>
      <c r="I14" s="36">
        <v>1.0108025777745156E-2</v>
      </c>
      <c r="J14" s="36">
        <v>0.36431898517030237</v>
      </c>
      <c r="K14" s="36">
        <v>7.1429375498430663E-3</v>
      </c>
      <c r="L14" s="36">
        <v>6.7444648050265493E-3</v>
      </c>
      <c r="M14" s="36">
        <v>1.1850061500948113</v>
      </c>
      <c r="N14" s="36">
        <v>8.3882972075043343E-3</v>
      </c>
      <c r="O14" s="36">
        <v>1.2754043677685247</v>
      </c>
      <c r="P14" s="36">
        <v>0.35851446700377787</v>
      </c>
      <c r="Q14" s="36">
        <v>1.0885431536959896E-2</v>
      </c>
      <c r="R14" s="36">
        <v>0.10963272733246472</v>
      </c>
      <c r="S14" s="36">
        <v>7.8948017036139091E-5</v>
      </c>
      <c r="T14" s="36">
        <v>0.10963272733246594</v>
      </c>
      <c r="U14" s="36">
        <v>0.6087076095578704</v>
      </c>
      <c r="V14" s="36">
        <v>0.28408258302910883</v>
      </c>
      <c r="W14" s="36">
        <v>5.9310454995655081E-3</v>
      </c>
      <c r="X14" s="36">
        <v>0.17078801257306089</v>
      </c>
      <c r="Y14" s="36">
        <v>3.6071447460020419E-3</v>
      </c>
      <c r="Z14" s="36">
        <v>0.22641553937125222</v>
      </c>
    </row>
    <row r="15" spans="1:28" s="31" customFormat="1" x14ac:dyDescent="0.25">
      <c r="A15" s="32">
        <v>10073</v>
      </c>
      <c r="B15" s="32" t="s">
        <v>79</v>
      </c>
      <c r="C15" s="32" t="s">
        <v>72</v>
      </c>
      <c r="D15" s="33">
        <v>43614</v>
      </c>
      <c r="E15" s="34"/>
      <c r="F15" s="35">
        <v>1.1066</v>
      </c>
      <c r="G15" s="35">
        <v>10.36739</v>
      </c>
      <c r="H15" s="36" t="s">
        <v>132</v>
      </c>
      <c r="I15" s="36">
        <v>1.0079626026437808E-2</v>
      </c>
      <c r="J15" s="36">
        <v>1.0239523904024919</v>
      </c>
      <c r="K15" s="36">
        <v>7.1437510146491598E-3</v>
      </c>
      <c r="L15" s="36">
        <v>8.7727540429218508E-3</v>
      </c>
      <c r="M15" s="36">
        <v>2.7193648281461917</v>
      </c>
      <c r="N15" s="36">
        <v>1.6920951265054635E-2</v>
      </c>
      <c r="O15" s="36">
        <v>2.0466628258556745</v>
      </c>
      <c r="P15" s="36">
        <v>1.0078270053011857</v>
      </c>
      <c r="Q15" s="36">
        <v>7.5795976872016554E-3</v>
      </c>
      <c r="R15" s="36">
        <v>0.15563952081005017</v>
      </c>
      <c r="S15" s="36">
        <v>5.4972024334039173E-5</v>
      </c>
      <c r="T15" s="36">
        <v>0.15563952081004997</v>
      </c>
      <c r="U15" s="36">
        <v>1.312109280383754</v>
      </c>
      <c r="V15" s="36">
        <v>0.22157101329839365</v>
      </c>
      <c r="W15" s="36">
        <v>0.19038012906267726</v>
      </c>
      <c r="X15" s="36">
        <v>0.62123051287353337</v>
      </c>
      <c r="Y15" s="36">
        <v>0.24976502515481777</v>
      </c>
      <c r="Z15" s="36">
        <v>0.6678039534857021</v>
      </c>
    </row>
    <row r="16" spans="1:28" s="31" customFormat="1" x14ac:dyDescent="0.25">
      <c r="A16" s="31">
        <v>10180</v>
      </c>
      <c r="B16" s="31" t="s">
        <v>133</v>
      </c>
      <c r="C16" s="31" t="s">
        <v>83</v>
      </c>
      <c r="D16" s="37">
        <v>43614</v>
      </c>
      <c r="E16" s="38"/>
      <c r="F16" s="31">
        <v>0.15648000000000001</v>
      </c>
      <c r="G16" s="39">
        <v>9.594000000000058E-2</v>
      </c>
      <c r="H16" s="36" t="s">
        <v>134</v>
      </c>
      <c r="I16" s="36">
        <v>1.0067757564368682E-2</v>
      </c>
      <c r="J16" s="36">
        <v>0.24621273330859653</v>
      </c>
      <c r="K16" s="36">
        <v>7.1395606785641646E-3</v>
      </c>
      <c r="L16" s="36">
        <v>7.4124192416386847E-3</v>
      </c>
      <c r="M16" s="36">
        <v>1.0068983911855125</v>
      </c>
      <c r="N16" s="36">
        <v>5.7865938366267623E-3</v>
      </c>
      <c r="O16" s="36">
        <v>1.0327621485125456</v>
      </c>
      <c r="P16" s="36">
        <v>0.23877575455460431</v>
      </c>
      <c r="Q16" s="36">
        <v>1.0313587105111106E-2</v>
      </c>
      <c r="R16" s="36">
        <v>0.10774535948570373</v>
      </c>
      <c r="S16" s="36">
        <v>7.4800640444376679E-5</v>
      </c>
      <c r="T16" s="36">
        <v>0.10774535948570416</v>
      </c>
      <c r="U16" s="36">
        <v>0.20539172757858293</v>
      </c>
      <c r="V16" s="36">
        <v>0.34947695869880385</v>
      </c>
      <c r="W16" s="36">
        <v>9.5214847684661416E-2</v>
      </c>
      <c r="X16" s="36">
        <v>0.2239635742813694</v>
      </c>
      <c r="Y16" s="36">
        <v>1.9556539582318767E-2</v>
      </c>
      <c r="Z16" s="36">
        <v>0.33440425524188622</v>
      </c>
    </row>
    <row r="17" spans="1:26" s="31" customFormat="1" x14ac:dyDescent="0.25">
      <c r="A17" s="32">
        <v>10073</v>
      </c>
      <c r="B17" s="32" t="s">
        <v>79</v>
      </c>
      <c r="C17" s="32" t="s">
        <v>72</v>
      </c>
      <c r="D17" s="33">
        <v>43614</v>
      </c>
      <c r="E17" s="34"/>
      <c r="F17" s="35">
        <v>1.1066</v>
      </c>
      <c r="G17" s="35">
        <v>10.36739</v>
      </c>
      <c r="H17" s="36" t="s">
        <v>135</v>
      </c>
      <c r="I17" s="36">
        <v>1.0038450074569159E-2</v>
      </c>
      <c r="J17" s="36">
        <v>0.99824094244430361</v>
      </c>
      <c r="K17" s="36">
        <v>7.1418340102493592E-3</v>
      </c>
      <c r="L17" s="36">
        <v>7.05557222064332E-3</v>
      </c>
      <c r="M17" s="36">
        <v>2.7192205403053915</v>
      </c>
      <c r="N17" s="36">
        <v>1.7199566802579582E-2</v>
      </c>
      <c r="O17" s="36">
        <v>2.0527520629488736</v>
      </c>
      <c r="P17" s="36">
        <v>0.98539079871291235</v>
      </c>
      <c r="Q17" s="36">
        <v>7.5686419270247331E-3</v>
      </c>
      <c r="R17" s="36">
        <v>0.18403767318796282</v>
      </c>
      <c r="S17" s="36">
        <v>5.4892566249336241E-5</v>
      </c>
      <c r="T17" s="36">
        <v>0.18403767318796072</v>
      </c>
      <c r="U17" s="36">
        <v>1.3168756983395769</v>
      </c>
      <c r="V17" s="36">
        <v>0.31580738450355739</v>
      </c>
      <c r="W17" s="36">
        <v>0.19071193400544223</v>
      </c>
      <c r="X17" s="36">
        <v>0.74632172320774337</v>
      </c>
      <c r="Y17" s="36">
        <v>0.25113187271376564</v>
      </c>
      <c r="Z17" s="36">
        <v>0.74704431809096017</v>
      </c>
    </row>
    <row r="18" spans="1:26" s="31" customFormat="1" x14ac:dyDescent="0.25">
      <c r="A18" s="31">
        <v>10181</v>
      </c>
      <c r="B18" s="31" t="s">
        <v>136</v>
      </c>
      <c r="C18" s="31" t="s">
        <v>83</v>
      </c>
      <c r="D18" s="37">
        <v>43614</v>
      </c>
      <c r="E18" s="38"/>
      <c r="F18" s="31">
        <v>0.23421</v>
      </c>
      <c r="G18" s="39">
        <v>9.3329999999999913E-2</v>
      </c>
      <c r="H18" s="36" t="s">
        <v>137</v>
      </c>
      <c r="I18" s="36">
        <v>1.009408024824408E-2</v>
      </c>
      <c r="J18" s="36">
        <v>0.40778463410270982</v>
      </c>
      <c r="K18" s="36">
        <v>7.1397141464329805E-3</v>
      </c>
      <c r="L18" s="36">
        <v>8.8713660905307135E-3</v>
      </c>
      <c r="M18" s="36">
        <v>1.3260521150899058</v>
      </c>
      <c r="N18" s="36">
        <v>1.0226701426708295E-2</v>
      </c>
      <c r="O18" s="36">
        <v>1.2790207259665662</v>
      </c>
      <c r="P18" s="36">
        <v>0.44112587415748966</v>
      </c>
      <c r="Q18" s="36">
        <v>9.7250353199660969E-3</v>
      </c>
      <c r="R18" s="36">
        <v>0.1393659259268363</v>
      </c>
      <c r="S18" s="36">
        <v>7.0532091585977011E-5</v>
      </c>
      <c r="T18" s="36">
        <v>0.13936592592683625</v>
      </c>
      <c r="U18" s="36">
        <v>0.63839447948318806</v>
      </c>
      <c r="V18" s="36">
        <v>0.32644967366181155</v>
      </c>
      <c r="W18" s="36">
        <v>5.6370748428235104E-3</v>
      </c>
      <c r="X18" s="36">
        <v>0.21902706811467923</v>
      </c>
      <c r="Y18" s="36">
        <v>3.6024301194872445E-3</v>
      </c>
      <c r="Z18" s="36">
        <v>0.19994668517266978</v>
      </c>
    </row>
    <row r="19" spans="1:26" s="31" customFormat="1" x14ac:dyDescent="0.25">
      <c r="A19" s="32">
        <v>10073</v>
      </c>
      <c r="B19" s="32" t="s">
        <v>79</v>
      </c>
      <c r="C19" s="32" t="s">
        <v>72</v>
      </c>
      <c r="D19" s="33">
        <v>43614</v>
      </c>
      <c r="E19" s="34"/>
      <c r="F19" s="35">
        <v>1.1066</v>
      </c>
      <c r="G19" s="35">
        <v>10.36739</v>
      </c>
      <c r="H19" s="36" t="s">
        <v>138</v>
      </c>
      <c r="I19" s="36">
        <v>9.5780578010486554E-3</v>
      </c>
      <c r="J19" s="36">
        <v>1.041184984900398</v>
      </c>
      <c r="K19" s="36">
        <v>7.1380786021192754E-3</v>
      </c>
      <c r="L19" s="36">
        <v>6.2519324367348167E-3</v>
      </c>
      <c r="M19" s="36">
        <v>2.7191664754880733</v>
      </c>
      <c r="N19" s="36">
        <v>2.0094619206403062E-2</v>
      </c>
      <c r="O19" s="36">
        <v>2.1532076504292612</v>
      </c>
      <c r="P19" s="36">
        <v>1.225638155814267</v>
      </c>
      <c r="Q19" s="36">
        <v>7.587504466511929E-3</v>
      </c>
      <c r="R19" s="36">
        <v>0.35045069719206717</v>
      </c>
      <c r="S19" s="36">
        <v>5.502936928591997E-5</v>
      </c>
      <c r="T19" s="36">
        <v>0.35045069719206545</v>
      </c>
      <c r="U19" s="36">
        <v>1.3148382681099764</v>
      </c>
      <c r="V19" s="36">
        <v>0.2437040999331252</v>
      </c>
      <c r="W19" s="36">
        <v>0.19275343952346011</v>
      </c>
      <c r="X19" s="36">
        <v>0.48046347662706879</v>
      </c>
      <c r="Y19" s="36">
        <v>0.253697965126358</v>
      </c>
      <c r="Z19" s="36">
        <v>0.45917575520999443</v>
      </c>
    </row>
    <row r="20" spans="1:26" s="31" customFormat="1" x14ac:dyDescent="0.25">
      <c r="A20" s="31">
        <v>10184</v>
      </c>
      <c r="B20" s="31" t="s">
        <v>139</v>
      </c>
      <c r="C20" s="31" t="s">
        <v>83</v>
      </c>
      <c r="D20" s="37">
        <v>43614</v>
      </c>
      <c r="E20" s="38"/>
      <c r="F20" s="31">
        <v>0.18598999999999999</v>
      </c>
      <c r="G20" s="39">
        <v>9.6790000000000376E-2</v>
      </c>
      <c r="H20" s="36" t="s">
        <v>140</v>
      </c>
      <c r="I20" s="36">
        <v>1.0078351789861028E-2</v>
      </c>
      <c r="J20" s="36">
        <v>0.37317669952472271</v>
      </c>
      <c r="K20" s="36">
        <v>7.1354989527169753E-3</v>
      </c>
      <c r="L20" s="36">
        <v>8.7267197720109473E-3</v>
      </c>
      <c r="M20" s="36">
        <v>0.59443106243074451</v>
      </c>
      <c r="N20" s="36">
        <v>9.7739314829816612E-3</v>
      </c>
      <c r="O20" s="36">
        <v>0.52541577690791408</v>
      </c>
      <c r="P20" s="36">
        <v>0.42305958457998194</v>
      </c>
      <c r="Q20" s="36">
        <v>8.9255066441170147E-3</v>
      </c>
      <c r="R20" s="36">
        <v>0.25359133954000956</v>
      </c>
      <c r="S20" s="36">
        <v>6.4733405212589223E-5</v>
      </c>
      <c r="T20" s="36">
        <v>0.25359133954000956</v>
      </c>
      <c r="U20" s="36">
        <v>0.18025518318573155</v>
      </c>
      <c r="V20" s="36">
        <v>0.41949062871450071</v>
      </c>
      <c r="W20" s="36">
        <v>9.7686080155751295E-2</v>
      </c>
      <c r="X20" s="36">
        <v>0.37203550832741211</v>
      </c>
      <c r="Y20" s="36">
        <v>1.7545563995171345E-2</v>
      </c>
      <c r="Z20" s="36">
        <v>0.52908387175962623</v>
      </c>
    </row>
    <row r="21" spans="1:26" s="31" customFormat="1" x14ac:dyDescent="0.25">
      <c r="A21" s="32">
        <v>10073</v>
      </c>
      <c r="B21" s="32" t="s">
        <v>79</v>
      </c>
      <c r="C21" s="32" t="s">
        <v>72</v>
      </c>
      <c r="D21" s="33">
        <v>43614</v>
      </c>
      <c r="E21" s="34"/>
      <c r="F21" s="35">
        <v>1.1066</v>
      </c>
      <c r="G21" s="35">
        <v>10.36739</v>
      </c>
      <c r="H21" s="36" t="s">
        <v>141</v>
      </c>
      <c r="I21" s="36">
        <v>1.0054969907730799E-2</v>
      </c>
      <c r="J21" s="36">
        <v>0.92245388614399371</v>
      </c>
      <c r="K21" s="36">
        <v>7.1346175572685406E-3</v>
      </c>
      <c r="L21" s="36">
        <v>6.053655224971425E-3</v>
      </c>
      <c r="M21" s="36">
        <v>2.7202832347768902</v>
      </c>
      <c r="N21" s="36">
        <v>1.7211540895358368E-2</v>
      </c>
      <c r="O21" s="36">
        <v>2.0487350309784533</v>
      </c>
      <c r="P21" s="36">
        <v>1.0770201424918922</v>
      </c>
      <c r="Q21" s="36">
        <v>7.5593559349483672E-3</v>
      </c>
      <c r="R21" s="36">
        <v>0.26273045720851829</v>
      </c>
      <c r="S21" s="36">
        <v>5.4825218376341693E-5</v>
      </c>
      <c r="T21" s="36">
        <v>0.26273045720851756</v>
      </c>
      <c r="U21" s="36">
        <v>1.3176968630190402</v>
      </c>
      <c r="V21" s="36">
        <v>0.35720368796403645</v>
      </c>
      <c r="W21" s="36">
        <v>0.19449434129881951</v>
      </c>
      <c r="X21" s="36">
        <v>0.59450382564978355</v>
      </c>
      <c r="Y21" s="36">
        <v>0.25609224687803456</v>
      </c>
      <c r="Z21" s="36">
        <v>0.46562766879063316</v>
      </c>
    </row>
    <row r="22" spans="1:26" s="31" customFormat="1" x14ac:dyDescent="0.25">
      <c r="A22" s="31">
        <v>10185</v>
      </c>
      <c r="B22" s="31" t="s">
        <v>142</v>
      </c>
      <c r="C22" s="31" t="s">
        <v>83</v>
      </c>
      <c r="D22" s="37">
        <v>43614</v>
      </c>
      <c r="E22" s="38"/>
      <c r="F22" s="31">
        <v>0.20050000000000001</v>
      </c>
      <c r="G22" s="39">
        <v>9.1899999999998983E-2</v>
      </c>
      <c r="H22" s="36" t="s">
        <v>143</v>
      </c>
      <c r="I22" s="36">
        <v>1.0076764080613773E-2</v>
      </c>
      <c r="J22" s="36">
        <v>0.27639195854108234</v>
      </c>
      <c r="K22" s="36">
        <v>7.1323445726645257E-3</v>
      </c>
      <c r="L22" s="36">
        <v>8.9189076261001216E-3</v>
      </c>
      <c r="M22" s="36">
        <v>0.50442768634327662</v>
      </c>
      <c r="N22" s="36">
        <v>1.201809520468188E-2</v>
      </c>
      <c r="O22" s="36">
        <v>0.46105539228355857</v>
      </c>
      <c r="P22" s="36">
        <v>0.30213506538180962</v>
      </c>
      <c r="Q22" s="36">
        <v>9.2145360123545763E-3</v>
      </c>
      <c r="R22" s="36">
        <v>0.24607798700705044</v>
      </c>
      <c r="S22" s="36">
        <v>6.6829628537322592E-5</v>
      </c>
      <c r="T22" s="36">
        <v>0.24607798700705044</v>
      </c>
      <c r="U22" s="36">
        <v>0.14203721811924577</v>
      </c>
      <c r="V22" s="36">
        <v>0.34824166830936959</v>
      </c>
      <c r="W22" s="36">
        <v>4.1133308895949669E-2</v>
      </c>
      <c r="X22" s="36">
        <v>0.18675430632887965</v>
      </c>
      <c r="Y22" s="36">
        <v>5.8446275149124701E-3</v>
      </c>
      <c r="Z22" s="36">
        <v>0.36458512088937162</v>
      </c>
    </row>
    <row r="23" spans="1:26" s="31" customFormat="1" x14ac:dyDescent="0.25">
      <c r="A23" s="32">
        <v>10073</v>
      </c>
      <c r="B23" s="32" t="s">
        <v>79</v>
      </c>
      <c r="C23" s="32" t="s">
        <v>72</v>
      </c>
      <c r="D23" s="33">
        <v>43614</v>
      </c>
      <c r="E23" s="34"/>
      <c r="F23" s="35">
        <v>1.1066</v>
      </c>
      <c r="G23" s="35">
        <v>10.36739</v>
      </c>
      <c r="H23" s="36" t="s">
        <v>144</v>
      </c>
      <c r="I23" s="36">
        <v>1.0010696911957133E-2</v>
      </c>
      <c r="J23" s="36">
        <v>0.83795304396257797</v>
      </c>
      <c r="K23" s="36">
        <v>7.132818624946447E-3</v>
      </c>
      <c r="L23" s="36">
        <v>7.009068182626762E-3</v>
      </c>
      <c r="M23" s="36">
        <v>2.7197847131456858</v>
      </c>
      <c r="N23" s="36">
        <v>1.1876553936213933E-2</v>
      </c>
      <c r="O23" s="36">
        <v>2.0521644964599721</v>
      </c>
      <c r="P23" s="36">
        <v>0.82323463096293104</v>
      </c>
      <c r="Q23" s="36">
        <v>7.557847354801181E-3</v>
      </c>
      <c r="R23" s="36">
        <v>0.26508548970796753</v>
      </c>
      <c r="S23" s="36">
        <v>5.4814277201363359E-5</v>
      </c>
      <c r="T23" s="36">
        <v>0.26508548970796708</v>
      </c>
      <c r="U23" s="36">
        <v>1.3196299501980244</v>
      </c>
      <c r="V23" s="36">
        <v>0.26809313511513089</v>
      </c>
      <c r="W23" s="36">
        <v>0.19496801828147375</v>
      </c>
      <c r="X23" s="36">
        <v>0.5035930483070522</v>
      </c>
      <c r="Y23" s="36">
        <v>0.25672191690590701</v>
      </c>
      <c r="Z23" s="36">
        <v>0.47232705322936908</v>
      </c>
    </row>
    <row r="25" spans="1:26" x14ac:dyDescent="0.25">
      <c r="A25" s="14">
        <v>10368</v>
      </c>
      <c r="B25" s="14" t="s">
        <v>79</v>
      </c>
      <c r="C25" s="14" t="s">
        <v>72</v>
      </c>
      <c r="D25" s="153">
        <v>44000</v>
      </c>
      <c r="F25" s="14">
        <v>1.22055</v>
      </c>
      <c r="G25" s="28">
        <v>10.325699999999999</v>
      </c>
      <c r="H25" s="28" t="s">
        <v>157</v>
      </c>
      <c r="I25" s="28">
        <v>9.886843669723493E-3</v>
      </c>
      <c r="J25" s="25">
        <v>0.98757399634362042</v>
      </c>
      <c r="K25" s="28">
        <v>7.1730471874440907E-3</v>
      </c>
      <c r="L25" s="27">
        <v>5.1322778150516175E-3</v>
      </c>
      <c r="M25" s="27">
        <v>3.0138451218201001</v>
      </c>
      <c r="N25" s="27">
        <v>1.5422954741112433E-2</v>
      </c>
      <c r="O25" s="28">
        <v>2.30793595811839</v>
      </c>
      <c r="P25" s="25">
        <v>0.96702085970513407</v>
      </c>
      <c r="Q25" s="26">
        <v>7.5637853676123537E-3</v>
      </c>
      <c r="R25" s="29">
        <v>0.15625905217199515</v>
      </c>
      <c r="S25" s="30">
        <v>5.4857343416513922E-5</v>
      </c>
      <c r="T25" s="14">
        <v>0.15625905217199368</v>
      </c>
      <c r="U25" s="28">
        <v>1.4581535392052587</v>
      </c>
      <c r="V25" s="25">
        <v>0.22327980907039824</v>
      </c>
      <c r="W25" s="28">
        <v>0.19989246471444086</v>
      </c>
      <c r="X25" s="25">
        <v>0.52614839437029282</v>
      </c>
      <c r="Y25" s="26">
        <v>0.29141583616667877</v>
      </c>
      <c r="Z25" s="25">
        <v>0.36552327118755457</v>
      </c>
    </row>
    <row r="26" spans="1:26" x14ac:dyDescent="0.25">
      <c r="A26" s="14" t="s">
        <v>158</v>
      </c>
      <c r="B26" s="14" t="s">
        <v>159</v>
      </c>
      <c r="C26" s="14" t="s">
        <v>160</v>
      </c>
      <c r="D26" s="153">
        <v>44000</v>
      </c>
      <c r="F26" s="14">
        <v>0.21104999999999999</v>
      </c>
      <c r="G26" s="28">
        <v>0.30804999999999794</v>
      </c>
      <c r="H26" s="28" t="s">
        <v>161</v>
      </c>
      <c r="I26" s="28">
        <v>9.9923776428368048E-3</v>
      </c>
      <c r="J26" s="25">
        <v>0.75139059628963079</v>
      </c>
      <c r="K26" s="28">
        <v>7.1759129741870544E-3</v>
      </c>
      <c r="L26" s="27">
        <v>7.4452672011392938E-3</v>
      </c>
      <c r="M26" s="27">
        <v>2.6585077870655516</v>
      </c>
      <c r="N26" s="27">
        <v>1.6869979787018177E-2</v>
      </c>
      <c r="O26" s="28">
        <v>2.3428874156421777</v>
      </c>
      <c r="P26" s="25">
        <v>0.83144717056212281</v>
      </c>
      <c r="Q26" s="26">
        <v>8.802314758676889E-3</v>
      </c>
      <c r="R26" s="29">
        <v>0.1855558485602834</v>
      </c>
      <c r="S26" s="30">
        <v>6.3839939938620165E-5</v>
      </c>
      <c r="T26" s="14">
        <v>0.18555584856028437</v>
      </c>
      <c r="U26" s="28">
        <v>1.5074406633435118</v>
      </c>
      <c r="V26" s="25">
        <v>0.27421462362359228</v>
      </c>
      <c r="W26" s="28">
        <v>6.6494521538510961E-4</v>
      </c>
      <c r="X26" s="25">
        <v>0.21342755843415809</v>
      </c>
      <c r="Y26" s="26">
        <v>1.0021057049849008E-3</v>
      </c>
      <c r="Z26" s="25">
        <v>9.792328552053349E-2</v>
      </c>
    </row>
    <row r="27" spans="1:26" x14ac:dyDescent="0.25">
      <c r="A27" s="14">
        <v>10368</v>
      </c>
      <c r="B27" s="14" t="s">
        <v>79</v>
      </c>
      <c r="C27" s="14" t="s">
        <v>72</v>
      </c>
      <c r="D27" s="153">
        <v>44000</v>
      </c>
      <c r="F27" s="14">
        <v>1.22055</v>
      </c>
      <c r="G27" s="28">
        <v>10.325699999999999</v>
      </c>
      <c r="H27" s="28" t="s">
        <v>162</v>
      </c>
      <c r="I27" s="28">
        <v>9.9204788068845487E-3</v>
      </c>
      <c r="J27" s="25">
        <v>0.74790825452581289</v>
      </c>
      <c r="K27" s="28">
        <v>7.1778006753544241E-3</v>
      </c>
      <c r="L27" s="27">
        <v>5.2649335595769406E-3</v>
      </c>
      <c r="M27" s="27">
        <v>3.0129671211489972</v>
      </c>
      <c r="N27" s="27">
        <v>8.7450624581747408E-3</v>
      </c>
      <c r="O27" s="28">
        <v>2.2984615748425443</v>
      </c>
      <c r="P27" s="25">
        <v>0.75754243276330901</v>
      </c>
      <c r="Q27" s="26">
        <v>7.5616024237681843E-3</v>
      </c>
      <c r="R27" s="29">
        <v>0.1616708566549776</v>
      </c>
      <c r="S27" s="30">
        <v>5.4841511330554482E-5</v>
      </c>
      <c r="T27" s="14">
        <v>0.16167085665497674</v>
      </c>
      <c r="U27" s="28">
        <v>1.4591964415974279</v>
      </c>
      <c r="V27" s="25">
        <v>0.21680995076488485</v>
      </c>
      <c r="W27" s="28">
        <v>0.19901044080834102</v>
      </c>
      <c r="X27" s="25">
        <v>0.5610207966946098</v>
      </c>
      <c r="Y27" s="26">
        <v>0.29028121211389951</v>
      </c>
      <c r="Z27" s="25">
        <v>0.40162206244289694</v>
      </c>
    </row>
    <row r="28" spans="1:26" x14ac:dyDescent="0.25">
      <c r="A28" s="14" t="s">
        <v>163</v>
      </c>
      <c r="B28" s="14" t="s">
        <v>159</v>
      </c>
      <c r="C28" s="14" t="s">
        <v>160</v>
      </c>
      <c r="D28" s="153">
        <v>44000</v>
      </c>
      <c r="F28" s="14">
        <v>0.21512999999999999</v>
      </c>
      <c r="G28" s="28">
        <v>0.30775999999999826</v>
      </c>
      <c r="H28" s="28" t="s">
        <v>164</v>
      </c>
      <c r="I28" s="28">
        <v>9.8849846040334911E-3</v>
      </c>
      <c r="J28" s="25">
        <v>0.90459025253856984</v>
      </c>
      <c r="K28" s="28">
        <v>7.175522250211553E-3</v>
      </c>
      <c r="L28" s="27">
        <v>6.6673467512978314E-3</v>
      </c>
      <c r="M28" s="27">
        <v>2.6129927804078283</v>
      </c>
      <c r="N28" s="27">
        <v>1.1637623659035154E-2</v>
      </c>
      <c r="O28" s="28">
        <v>2.3336256165899556</v>
      </c>
      <c r="P28" s="25">
        <v>0.9433063085390061</v>
      </c>
      <c r="Q28" s="26">
        <v>8.8159909189558829E-3</v>
      </c>
      <c r="R28" s="29">
        <v>0.19785765250378656</v>
      </c>
      <c r="S28" s="30">
        <v>6.3939128081141557E-5</v>
      </c>
      <c r="T28" s="14">
        <v>0.1978576525037867</v>
      </c>
      <c r="U28" s="28">
        <v>1.5217433038346313</v>
      </c>
      <c r="V28" s="25">
        <v>0.2535983160738226</v>
      </c>
      <c r="W28" s="28">
        <v>9.4123678788649565E-4</v>
      </c>
      <c r="X28" s="25">
        <v>0.24084267534301615</v>
      </c>
      <c r="Y28" s="26">
        <v>1.4319021271536846E-3</v>
      </c>
      <c r="Z28" s="25">
        <v>0.10609082707453783</v>
      </c>
    </row>
    <row r="29" spans="1:26" x14ac:dyDescent="0.25">
      <c r="A29" s="14">
        <v>10368</v>
      </c>
      <c r="B29" s="14" t="s">
        <v>79</v>
      </c>
      <c r="C29" s="14" t="s">
        <v>72</v>
      </c>
      <c r="D29" s="153">
        <v>44000</v>
      </c>
      <c r="F29" s="14">
        <v>1.22055</v>
      </c>
      <c r="G29" s="28">
        <v>10.325699999999999</v>
      </c>
      <c r="H29" s="28" t="s">
        <v>165</v>
      </c>
      <c r="I29" s="28">
        <v>9.9916934991664159E-3</v>
      </c>
      <c r="J29" s="25">
        <v>0.61669344303744211</v>
      </c>
      <c r="K29" s="28">
        <v>7.1782711320296814E-3</v>
      </c>
      <c r="L29" s="27">
        <v>6.6070851260908734E-3</v>
      </c>
      <c r="M29" s="27">
        <v>3.0131897341778702</v>
      </c>
      <c r="N29" s="27">
        <v>9.899233125042076E-3</v>
      </c>
      <c r="O29" s="28">
        <v>2.2840168742437288</v>
      </c>
      <c r="P29" s="25">
        <v>0.59727424861109291</v>
      </c>
      <c r="Q29" s="26">
        <v>7.5639901512256835E-3</v>
      </c>
      <c r="R29" s="29">
        <v>0.15530630374577928</v>
      </c>
      <c r="S29" s="30">
        <v>5.4858828636474089E-5</v>
      </c>
      <c r="T29" s="14">
        <v>0.15530630374577942</v>
      </c>
      <c r="U29" s="28">
        <v>1.4617211222129689</v>
      </c>
      <c r="V29" s="25">
        <v>0.19280881460155544</v>
      </c>
      <c r="W29" s="28">
        <v>0.19951716168662045</v>
      </c>
      <c r="X29" s="25">
        <v>0.32679291835867341</v>
      </c>
      <c r="Y29" s="26">
        <v>0.29157544308505634</v>
      </c>
      <c r="Z29" s="25">
        <v>0.33338032839427401</v>
      </c>
    </row>
    <row r="30" spans="1:26" x14ac:dyDescent="0.25">
      <c r="A30" s="14" t="s">
        <v>166</v>
      </c>
      <c r="B30" s="14" t="s">
        <v>159</v>
      </c>
      <c r="C30" s="14" t="s">
        <v>160</v>
      </c>
      <c r="D30" s="153">
        <v>44000</v>
      </c>
      <c r="F30" s="14">
        <v>0.23893</v>
      </c>
      <c r="G30" s="28">
        <v>0.41114999999999924</v>
      </c>
      <c r="H30" s="28" t="s">
        <v>167</v>
      </c>
      <c r="I30" s="28">
        <v>9.9677290695215966E-3</v>
      </c>
      <c r="J30" s="25">
        <v>1.1951462874156573</v>
      </c>
      <c r="K30" s="28">
        <v>7.1765458618813591E-3</v>
      </c>
      <c r="L30" s="27">
        <v>6.5148484139116742E-3</v>
      </c>
      <c r="M30" s="27">
        <v>2.2131809309262991</v>
      </c>
      <c r="N30" s="27">
        <v>1.0409542083629068E-2</v>
      </c>
      <c r="O30" s="28">
        <v>1.9557199171399213</v>
      </c>
      <c r="P30" s="25">
        <v>1.1424736930402495</v>
      </c>
      <c r="Q30" s="26">
        <v>8.8153370507412648E-3</v>
      </c>
      <c r="R30" s="29">
        <v>0.16907572055713443</v>
      </c>
      <c r="S30" s="30">
        <v>6.3934385816329055E-5</v>
      </c>
      <c r="T30" s="14">
        <v>0.16907572055713607</v>
      </c>
      <c r="U30" s="28">
        <v>1.2365427600216725</v>
      </c>
      <c r="V30" s="25">
        <v>0.2535631849906434</v>
      </c>
      <c r="W30" s="28">
        <v>1.0328076329642534E-3</v>
      </c>
      <c r="X30" s="25">
        <v>0.2084922285545136</v>
      </c>
      <c r="Y30" s="26">
        <v>1.2790303133376217E-3</v>
      </c>
      <c r="Z30" s="25">
        <v>9.4750425589225348E-2</v>
      </c>
    </row>
    <row r="31" spans="1:26" x14ac:dyDescent="0.25">
      <c r="A31" s="14">
        <v>10368</v>
      </c>
      <c r="B31" s="14" t="s">
        <v>79</v>
      </c>
      <c r="C31" s="14" t="s">
        <v>72</v>
      </c>
      <c r="D31" s="153">
        <v>44000</v>
      </c>
      <c r="F31" s="14">
        <v>1.22055</v>
      </c>
      <c r="G31" s="28">
        <v>10.325699999999999</v>
      </c>
      <c r="H31" s="28" t="s">
        <v>168</v>
      </c>
      <c r="I31" s="28">
        <v>9.9301955906276398E-3</v>
      </c>
      <c r="J31" s="25">
        <v>0.91833471898242014</v>
      </c>
      <c r="K31" s="28">
        <v>7.1792966208395316E-3</v>
      </c>
      <c r="L31" s="27">
        <v>4.9575184173763082E-3</v>
      </c>
      <c r="M31" s="27">
        <v>3.0134390936823534</v>
      </c>
      <c r="N31" s="27">
        <v>8.8817483016817838E-3</v>
      </c>
      <c r="O31" s="28">
        <v>2.2976809197213783</v>
      </c>
      <c r="P31" s="25">
        <v>0.91607370090722295</v>
      </c>
      <c r="Q31" s="26">
        <v>7.5779189562040937E-3</v>
      </c>
      <c r="R31" s="29">
        <v>0.14801407915175177</v>
      </c>
      <c r="S31" s="30">
        <v>5.495984911774713E-5</v>
      </c>
      <c r="T31" s="14">
        <v>0.14801407915175296</v>
      </c>
      <c r="U31" s="28">
        <v>1.455540275250041</v>
      </c>
      <c r="V31" s="25">
        <v>0.20818005654239966</v>
      </c>
      <c r="W31" s="28">
        <v>0.20119586392326738</v>
      </c>
      <c r="X31" s="25">
        <v>0.37815985830354892</v>
      </c>
      <c r="Y31" s="26">
        <v>0.29307032816477124</v>
      </c>
      <c r="Z31" s="25">
        <v>0.34389564312465126</v>
      </c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>
    <tabColor indexed="10"/>
  </sheetPr>
  <dimension ref="A1:DQ31"/>
  <sheetViews>
    <sheetView tabSelected="1" zoomScaleNormal="100" workbookViewId="0">
      <pane xSplit="2" ySplit="3" topLeftCell="O4" activePane="bottomRight" state="frozen"/>
      <selection pane="topRight" activeCell="C1" sqref="C1"/>
      <selection pane="bottomLeft" activeCell="A4" sqref="A4"/>
      <selection pane="bottomRight" activeCell="X8" sqref="X8"/>
    </sheetView>
  </sheetViews>
  <sheetFormatPr baseColWidth="10" defaultRowHeight="12.75" x14ac:dyDescent="0.2"/>
  <cols>
    <col min="1" max="1" width="23.7109375" style="57" bestFit="1" customWidth="1"/>
    <col min="2" max="2" width="37.42578125" style="57" bestFit="1" customWidth="1"/>
    <col min="3" max="3" width="13.5703125" style="57" customWidth="1"/>
    <col min="4" max="4" width="12.5703125" style="57" customWidth="1"/>
    <col min="5" max="5" width="12.28515625" style="90" bestFit="1" customWidth="1"/>
    <col min="6" max="6" width="13.5703125" style="57" customWidth="1"/>
    <col min="7" max="7" width="12.28515625" style="91" bestFit="1" customWidth="1"/>
    <col min="8" max="8" width="14.5703125" style="57" customWidth="1"/>
    <col min="9" max="9" width="11.42578125" style="57"/>
    <col min="10" max="10" width="15.28515625" style="57" bestFit="1" customWidth="1"/>
    <col min="11" max="11" width="12.7109375" style="57" customWidth="1"/>
    <col min="12" max="12" width="12.85546875" style="57" customWidth="1"/>
    <col min="13" max="13" width="14.7109375" style="57" customWidth="1"/>
    <col min="14" max="14" width="11.42578125" style="57"/>
    <col min="15" max="15" width="13" style="57" bestFit="1" customWidth="1"/>
    <col min="16" max="16" width="14.7109375" style="57" customWidth="1"/>
    <col min="17" max="17" width="14.140625" style="57" bestFit="1" customWidth="1"/>
    <col min="18" max="18" width="15.28515625" style="57" customWidth="1"/>
    <col min="19" max="19" width="15.28515625" style="57" bestFit="1" customWidth="1"/>
    <col min="20" max="20" width="14.28515625" style="57" customWidth="1"/>
    <col min="21" max="21" width="15.7109375" style="57" bestFit="1" customWidth="1"/>
    <col min="22" max="22" width="14.28515625" style="57" customWidth="1"/>
    <col min="23" max="23" width="11.85546875" style="57" bestFit="1" customWidth="1"/>
    <col min="24" max="24" width="15.28515625" style="57" customWidth="1"/>
    <col min="25" max="25" width="15" style="57" customWidth="1"/>
    <col min="26" max="26" width="13.140625" style="57" customWidth="1"/>
    <col min="27" max="27" width="14" style="57" bestFit="1" customWidth="1"/>
    <col min="28" max="29" width="11.42578125" style="57"/>
    <col min="30" max="30" width="14.140625" style="57" bestFit="1" customWidth="1"/>
    <col min="31" max="31" width="14" style="57" customWidth="1"/>
    <col min="32" max="32" width="13.28515625" style="57" customWidth="1"/>
    <col min="33" max="33" width="12.7109375" style="57" customWidth="1"/>
    <col min="34" max="34" width="15.28515625" style="57" bestFit="1" customWidth="1"/>
    <col min="35" max="35" width="15" style="57" customWidth="1"/>
    <col min="36" max="36" width="19.5703125" style="57" customWidth="1"/>
    <col min="37" max="39" width="12.85546875" style="57" customWidth="1"/>
    <col min="40" max="40" width="17" style="57" bestFit="1" customWidth="1"/>
    <col min="41" max="41" width="16.42578125" style="57" customWidth="1"/>
    <col min="42" max="42" width="15.7109375" style="57" customWidth="1"/>
    <col min="43" max="43" width="14.85546875" style="57" customWidth="1"/>
    <col min="44" max="44" width="12.7109375" style="57" customWidth="1"/>
    <col min="45" max="45" width="16.28515625" style="57" customWidth="1"/>
    <col min="46" max="46" width="16.42578125" style="57" customWidth="1"/>
    <col min="47" max="47" width="18.85546875" style="57" customWidth="1"/>
    <col min="48" max="59" width="13.85546875" style="57" customWidth="1"/>
    <col min="60" max="60" width="14.7109375" style="57" customWidth="1"/>
    <col min="61" max="63" width="17" style="57" customWidth="1"/>
    <col min="64" max="64" width="32.42578125" style="57" bestFit="1" customWidth="1"/>
    <col min="65" max="65" width="11.42578125" style="57"/>
    <col min="66" max="66" width="16.42578125" style="57" customWidth="1"/>
    <col min="67" max="67" width="17" style="57" customWidth="1"/>
    <col min="68" max="69" width="17.140625" style="57" customWidth="1"/>
    <col min="70" max="70" width="11.5703125" style="92" customWidth="1"/>
    <col min="71" max="71" width="12.140625" style="57" bestFit="1" customWidth="1"/>
    <col min="72" max="76" width="11.42578125" style="89"/>
    <col min="77" max="77" width="28" style="89" bestFit="1" customWidth="1"/>
    <col min="78" max="78" width="27" style="89" bestFit="1" customWidth="1"/>
    <col min="79" max="79" width="11.42578125" style="89"/>
    <col min="80" max="80" width="14.5703125" style="89" customWidth="1"/>
    <col min="81" max="16384" width="11.42578125" style="89"/>
  </cols>
  <sheetData>
    <row r="1" spans="1:121" ht="24.75" customHeight="1" x14ac:dyDescent="0.2">
      <c r="C1" s="147" t="s">
        <v>115</v>
      </c>
      <c r="W1" s="147" t="s">
        <v>116</v>
      </c>
      <c r="AJ1" s="147" t="s">
        <v>117</v>
      </c>
      <c r="AW1" s="147" t="s">
        <v>118</v>
      </c>
      <c r="BH1" s="147" t="s">
        <v>119</v>
      </c>
    </row>
    <row r="2" spans="1:121" s="58" customFormat="1" ht="18.75" x14ac:dyDescent="0.35">
      <c r="A2" s="93" t="s">
        <v>53</v>
      </c>
      <c r="B2" s="93" t="s">
        <v>0</v>
      </c>
      <c r="C2" s="93" t="s">
        <v>5</v>
      </c>
      <c r="D2" s="93" t="s">
        <v>49</v>
      </c>
      <c r="E2" s="94" t="s">
        <v>41</v>
      </c>
      <c r="F2" s="93" t="s">
        <v>49</v>
      </c>
      <c r="G2" s="95" t="s">
        <v>42</v>
      </c>
      <c r="H2" s="93" t="s">
        <v>49</v>
      </c>
      <c r="I2" s="93" t="s">
        <v>18</v>
      </c>
      <c r="J2" s="93" t="s">
        <v>19</v>
      </c>
      <c r="K2" s="93" t="s">
        <v>49</v>
      </c>
      <c r="L2" s="93" t="s">
        <v>20</v>
      </c>
      <c r="M2" s="93" t="s">
        <v>50</v>
      </c>
      <c r="N2" s="93" t="s">
        <v>21</v>
      </c>
      <c r="O2" s="93" t="s">
        <v>22</v>
      </c>
      <c r="P2" s="93" t="s">
        <v>50</v>
      </c>
      <c r="Q2" s="96" t="s">
        <v>22</v>
      </c>
      <c r="R2" s="93" t="s">
        <v>50</v>
      </c>
      <c r="S2" s="97" t="s">
        <v>7</v>
      </c>
      <c r="T2" s="97" t="s">
        <v>50</v>
      </c>
      <c r="U2" s="97" t="s">
        <v>74</v>
      </c>
      <c r="V2" s="97" t="s">
        <v>50</v>
      </c>
      <c r="W2" s="93" t="s">
        <v>23</v>
      </c>
      <c r="X2" s="98" t="s">
        <v>24</v>
      </c>
      <c r="Y2" s="93" t="s">
        <v>50</v>
      </c>
      <c r="Z2" s="99" t="s">
        <v>25</v>
      </c>
      <c r="AA2" s="93" t="s">
        <v>50</v>
      </c>
      <c r="AB2" s="93" t="s">
        <v>62</v>
      </c>
      <c r="AC2" s="93" t="s">
        <v>63</v>
      </c>
      <c r="AD2" s="100" t="s">
        <v>26</v>
      </c>
      <c r="AE2" s="93" t="s">
        <v>50</v>
      </c>
      <c r="AF2" s="93" t="s">
        <v>27</v>
      </c>
      <c r="AG2" s="93" t="s">
        <v>50</v>
      </c>
      <c r="AH2" s="99" t="s">
        <v>11</v>
      </c>
      <c r="AI2" s="93" t="s">
        <v>50</v>
      </c>
      <c r="AJ2" s="101" t="s">
        <v>85</v>
      </c>
      <c r="AK2" s="101" t="s">
        <v>49</v>
      </c>
      <c r="AL2" s="96" t="s">
        <v>28</v>
      </c>
      <c r="AM2" s="102" t="s">
        <v>50</v>
      </c>
      <c r="AN2" s="96" t="s">
        <v>75</v>
      </c>
      <c r="AO2" s="102" t="s">
        <v>50</v>
      </c>
      <c r="AP2" s="99" t="s">
        <v>47</v>
      </c>
      <c r="AQ2" s="93" t="s">
        <v>50</v>
      </c>
      <c r="AR2" s="93" t="s">
        <v>6</v>
      </c>
      <c r="AS2" s="103" t="s">
        <v>44</v>
      </c>
      <c r="AT2" s="104" t="s">
        <v>50</v>
      </c>
      <c r="AU2" s="105" t="s">
        <v>111</v>
      </c>
      <c r="AV2" s="106" t="s">
        <v>50</v>
      </c>
      <c r="AW2" s="145" t="s">
        <v>112</v>
      </c>
      <c r="AX2" s="145" t="s">
        <v>50</v>
      </c>
      <c r="AY2" s="145" t="s">
        <v>50</v>
      </c>
      <c r="AZ2" s="145" t="s">
        <v>113</v>
      </c>
      <c r="BA2" s="145" t="s">
        <v>50</v>
      </c>
      <c r="BB2" s="145" t="s">
        <v>50</v>
      </c>
      <c r="BC2" s="99" t="s">
        <v>114</v>
      </c>
      <c r="BD2" s="93" t="s">
        <v>50</v>
      </c>
      <c r="BE2" s="93" t="s">
        <v>6</v>
      </c>
      <c r="BF2" s="93"/>
      <c r="BG2" s="93"/>
      <c r="BH2" s="107" t="s">
        <v>45</v>
      </c>
      <c r="BI2" s="108" t="s">
        <v>49</v>
      </c>
      <c r="BJ2" s="108" t="s">
        <v>59</v>
      </c>
      <c r="BK2" s="108" t="s">
        <v>49</v>
      </c>
      <c r="BL2" s="99" t="s">
        <v>46</v>
      </c>
      <c r="BM2" s="99" t="s">
        <v>2</v>
      </c>
      <c r="BN2" s="101" t="s">
        <v>89</v>
      </c>
      <c r="BO2" s="101" t="s">
        <v>49</v>
      </c>
      <c r="BP2" s="108" t="s">
        <v>45</v>
      </c>
      <c r="BQ2" s="108" t="s">
        <v>51</v>
      </c>
      <c r="BR2" s="109" t="s">
        <v>86</v>
      </c>
      <c r="BS2" s="110" t="s">
        <v>64</v>
      </c>
    </row>
    <row r="3" spans="1:121" s="58" customFormat="1" ht="19.5" thickBot="1" x14ac:dyDescent="0.4">
      <c r="A3" s="111"/>
      <c r="B3" s="111"/>
      <c r="C3" s="111" t="s">
        <v>15</v>
      </c>
      <c r="D3" s="112" t="s">
        <v>29</v>
      </c>
      <c r="E3" s="111" t="s">
        <v>15</v>
      </c>
      <c r="F3" s="112" t="s">
        <v>29</v>
      </c>
      <c r="G3" s="113"/>
      <c r="H3" s="112" t="s">
        <v>29</v>
      </c>
      <c r="I3" s="112" t="s">
        <v>30</v>
      </c>
      <c r="J3" s="112" t="s">
        <v>31</v>
      </c>
      <c r="K3" s="112" t="s">
        <v>29</v>
      </c>
      <c r="L3" s="112" t="s">
        <v>32</v>
      </c>
      <c r="M3" s="112" t="s">
        <v>33</v>
      </c>
      <c r="N3" s="112" t="s">
        <v>34</v>
      </c>
      <c r="O3" s="112" t="s">
        <v>35</v>
      </c>
      <c r="P3" s="112" t="s">
        <v>33</v>
      </c>
      <c r="Q3" s="114" t="s">
        <v>32</v>
      </c>
      <c r="R3" s="112" t="s">
        <v>33</v>
      </c>
      <c r="S3" s="115" t="s">
        <v>58</v>
      </c>
      <c r="T3" s="115" t="s">
        <v>33</v>
      </c>
      <c r="U3" s="115" t="s">
        <v>58</v>
      </c>
      <c r="V3" s="115" t="s">
        <v>33</v>
      </c>
      <c r="W3" s="112" t="s">
        <v>34</v>
      </c>
      <c r="X3" s="116" t="s">
        <v>36</v>
      </c>
      <c r="Y3" s="112" t="s">
        <v>37</v>
      </c>
      <c r="Z3" s="112" t="s">
        <v>32</v>
      </c>
      <c r="AA3" s="112" t="s">
        <v>37</v>
      </c>
      <c r="AB3" s="112" t="s">
        <v>30</v>
      </c>
      <c r="AC3" s="112" t="s">
        <v>38</v>
      </c>
      <c r="AD3" s="117" t="s">
        <v>31</v>
      </c>
      <c r="AE3" s="112" t="s">
        <v>37</v>
      </c>
      <c r="AF3" s="112" t="s">
        <v>32</v>
      </c>
      <c r="AG3" s="112" t="s">
        <v>37</v>
      </c>
      <c r="AH3" s="118"/>
      <c r="AI3" s="112" t="s">
        <v>37</v>
      </c>
      <c r="AJ3" s="119" t="s">
        <v>87</v>
      </c>
      <c r="AK3" s="119" t="s">
        <v>88</v>
      </c>
      <c r="AL3" s="114" t="s">
        <v>57</v>
      </c>
      <c r="AM3" s="120" t="s">
        <v>37</v>
      </c>
      <c r="AN3" s="114" t="s">
        <v>57</v>
      </c>
      <c r="AO3" s="120" t="s">
        <v>37</v>
      </c>
      <c r="AP3" s="111" t="s">
        <v>39</v>
      </c>
      <c r="AQ3" s="112" t="s">
        <v>56</v>
      </c>
      <c r="AR3" s="112" t="s">
        <v>40</v>
      </c>
      <c r="AS3" s="121" t="s">
        <v>57</v>
      </c>
      <c r="AT3" s="122" t="s">
        <v>37</v>
      </c>
      <c r="AU3" s="123" t="s">
        <v>61</v>
      </c>
      <c r="AV3" s="124" t="s">
        <v>37</v>
      </c>
      <c r="AW3" s="146" t="s">
        <v>110</v>
      </c>
      <c r="AX3" s="146" t="s">
        <v>37</v>
      </c>
      <c r="AY3" s="146" t="s">
        <v>17</v>
      </c>
      <c r="AZ3" s="146" t="s">
        <v>110</v>
      </c>
      <c r="BA3" s="146" t="s">
        <v>37</v>
      </c>
      <c r="BB3" s="146" t="s">
        <v>17</v>
      </c>
      <c r="BC3" s="111" t="s">
        <v>39</v>
      </c>
      <c r="BD3" s="112" t="s">
        <v>56</v>
      </c>
      <c r="BE3" s="112" t="s">
        <v>40</v>
      </c>
      <c r="BF3" s="112"/>
      <c r="BG3" s="112"/>
      <c r="BH3" s="125" t="s">
        <v>39</v>
      </c>
      <c r="BI3" s="126" t="s">
        <v>39</v>
      </c>
      <c r="BJ3" s="126" t="s">
        <v>60</v>
      </c>
      <c r="BK3" s="126" t="s">
        <v>13</v>
      </c>
      <c r="BL3" s="118"/>
      <c r="BM3" s="111" t="s">
        <v>12</v>
      </c>
      <c r="BN3" s="119" t="s">
        <v>87</v>
      </c>
      <c r="BO3" s="119" t="s">
        <v>88</v>
      </c>
      <c r="BP3" s="126" t="s">
        <v>48</v>
      </c>
      <c r="BQ3" s="126" t="s">
        <v>52</v>
      </c>
      <c r="BR3" s="127" t="s">
        <v>13</v>
      </c>
      <c r="BS3" s="128"/>
    </row>
    <row r="4" spans="1:121" ht="13.5" thickTop="1" x14ac:dyDescent="0.2">
      <c r="A4" s="53"/>
      <c r="B4" s="53"/>
      <c r="C4" s="53"/>
      <c r="D4" s="53"/>
      <c r="E4" s="54"/>
      <c r="F4" s="53"/>
      <c r="G4" s="55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6"/>
      <c r="BS4" s="53"/>
      <c r="BT4" s="87"/>
      <c r="BU4" s="87"/>
      <c r="BV4" s="87"/>
      <c r="BW4" s="87"/>
      <c r="BX4" s="87"/>
      <c r="BY4" s="87"/>
      <c r="BZ4" s="87"/>
      <c r="CA4" s="87"/>
      <c r="CB4" s="87"/>
      <c r="CC4" s="87"/>
      <c r="CD4" s="87"/>
      <c r="CE4" s="87"/>
      <c r="CF4" s="87"/>
      <c r="CG4" s="87"/>
      <c r="CH4" s="87"/>
      <c r="CI4" s="87"/>
      <c r="CJ4" s="87"/>
      <c r="CK4" s="87"/>
      <c r="CL4" s="87"/>
      <c r="CM4" s="87"/>
      <c r="CN4" s="87"/>
      <c r="CO4" s="87"/>
      <c r="CP4" s="87"/>
      <c r="CQ4" s="87"/>
      <c r="CR4" s="87"/>
      <c r="CS4" s="87"/>
      <c r="CT4" s="87"/>
      <c r="CU4" s="87"/>
      <c r="CV4" s="87"/>
      <c r="CW4" s="87"/>
      <c r="CX4" s="87"/>
      <c r="CY4" s="87"/>
      <c r="CZ4" s="87"/>
      <c r="DA4" s="87"/>
      <c r="DB4" s="87"/>
      <c r="DC4" s="87"/>
      <c r="DD4" s="87"/>
      <c r="DE4" s="87"/>
      <c r="DF4" s="87"/>
      <c r="DG4" s="87"/>
      <c r="DH4" s="87"/>
      <c r="DI4" s="87"/>
      <c r="DJ4" s="87"/>
      <c r="DK4" s="87"/>
      <c r="DL4" s="87"/>
      <c r="DM4" s="87"/>
      <c r="DN4" s="87"/>
      <c r="DO4" s="87"/>
      <c r="DP4" s="87"/>
      <c r="DQ4" s="87"/>
    </row>
    <row r="5" spans="1:121" s="179" customFormat="1" ht="15" x14ac:dyDescent="0.25">
      <c r="A5" s="130" t="s">
        <v>80</v>
      </c>
      <c r="B5" s="131" t="s">
        <v>170</v>
      </c>
      <c r="C5" s="130" t="s">
        <v>66</v>
      </c>
      <c r="D5" s="130">
        <v>3.8677999999999999</v>
      </c>
      <c r="E5" s="132" t="s">
        <v>67</v>
      </c>
      <c r="F5" s="130" t="s">
        <v>68</v>
      </c>
      <c r="G5" s="130">
        <v>3.8556E-2</v>
      </c>
      <c r="H5" s="132" t="s">
        <v>67</v>
      </c>
      <c r="I5" s="130"/>
      <c r="J5" s="130"/>
      <c r="K5" s="130" t="s">
        <v>69</v>
      </c>
      <c r="L5" s="133">
        <v>1.8037000000000001E-2</v>
      </c>
      <c r="M5" s="132" t="s">
        <v>67</v>
      </c>
      <c r="N5" s="180" t="s">
        <v>171</v>
      </c>
      <c r="O5" s="167"/>
      <c r="P5" s="131"/>
      <c r="Q5" s="168"/>
      <c r="R5" s="169"/>
      <c r="S5" s="170"/>
      <c r="T5" s="167"/>
      <c r="U5" s="167"/>
      <c r="V5" s="167"/>
      <c r="W5" s="171"/>
      <c r="X5" s="167"/>
      <c r="Y5" s="167"/>
      <c r="Z5" s="167"/>
      <c r="AA5" s="167"/>
      <c r="AB5" s="172"/>
      <c r="AC5" s="172"/>
      <c r="AD5" s="167"/>
      <c r="AE5" s="167"/>
      <c r="AF5" s="167"/>
      <c r="AG5" s="167"/>
      <c r="AH5" s="131"/>
      <c r="AI5" s="171"/>
      <c r="AJ5" s="170"/>
      <c r="AK5" s="171"/>
      <c r="AL5" s="171"/>
      <c r="AM5" s="171"/>
      <c r="AN5" s="131"/>
      <c r="AO5" s="167"/>
      <c r="AP5" s="131"/>
      <c r="AQ5" s="131"/>
      <c r="AR5" s="131"/>
      <c r="AS5" s="169"/>
      <c r="AT5" s="169"/>
      <c r="AU5" s="131"/>
      <c r="AV5" s="131"/>
      <c r="AW5" s="131"/>
      <c r="AX5" s="131"/>
      <c r="AY5" s="131"/>
      <c r="AZ5" s="131"/>
      <c r="BA5" s="131"/>
      <c r="BB5" s="131"/>
      <c r="BC5" s="131"/>
      <c r="BD5" s="131"/>
      <c r="BE5" s="131"/>
      <c r="BF5" s="131"/>
      <c r="BG5" s="131"/>
      <c r="BH5" s="131"/>
      <c r="BI5" s="173"/>
      <c r="BJ5" s="173"/>
      <c r="BK5" s="173"/>
      <c r="BL5" s="131"/>
      <c r="BM5" s="174"/>
      <c r="BN5" s="131"/>
      <c r="BO5" s="170"/>
      <c r="BP5" s="131"/>
      <c r="BQ5" s="175"/>
      <c r="BR5" s="176"/>
      <c r="BS5" s="177"/>
      <c r="BT5" s="177"/>
      <c r="BU5" s="177"/>
      <c r="BV5" s="177"/>
      <c r="BW5" s="177"/>
      <c r="BX5" s="177"/>
      <c r="BY5" s="178"/>
      <c r="BZ5" s="177"/>
      <c r="CA5" s="177"/>
      <c r="CB5" s="177"/>
      <c r="CC5" s="177"/>
      <c r="CD5" s="177"/>
      <c r="CE5" s="177"/>
      <c r="CF5" s="177"/>
      <c r="CG5" s="177"/>
      <c r="CH5" s="177"/>
      <c r="CI5" s="177"/>
      <c r="CJ5" s="177"/>
      <c r="CK5" s="177"/>
      <c r="CL5" s="177"/>
      <c r="CM5" s="177"/>
      <c r="CN5" s="177"/>
      <c r="CO5" s="177"/>
      <c r="CP5" s="177"/>
      <c r="CQ5" s="177"/>
      <c r="CR5" s="177"/>
      <c r="CS5" s="177"/>
      <c r="CT5" s="177"/>
      <c r="CU5" s="177"/>
      <c r="CV5" s="177"/>
      <c r="CW5" s="177"/>
      <c r="CX5" s="177"/>
      <c r="CY5" s="177"/>
      <c r="CZ5" s="177"/>
      <c r="DA5" s="177"/>
      <c r="DB5" s="177"/>
      <c r="DC5" s="177"/>
      <c r="DD5" s="177"/>
      <c r="DE5" s="177"/>
      <c r="DF5" s="177"/>
      <c r="DG5" s="177"/>
      <c r="DH5" s="177"/>
      <c r="DI5" s="177"/>
      <c r="DJ5" s="177"/>
      <c r="DK5" s="177"/>
      <c r="DL5" s="177"/>
      <c r="DM5" s="177"/>
      <c r="DN5" s="177"/>
      <c r="DO5" s="177"/>
      <c r="DP5" s="177"/>
      <c r="DQ5" s="177"/>
    </row>
    <row r="6" spans="1:121" ht="15" x14ac:dyDescent="0.25">
      <c r="A6" s="139"/>
      <c r="B6" s="129"/>
      <c r="C6" s="139"/>
      <c r="D6" s="139"/>
      <c r="E6" s="149"/>
      <c r="F6" s="139"/>
      <c r="G6" s="139"/>
      <c r="H6" s="149"/>
      <c r="I6" s="139"/>
      <c r="J6" s="139"/>
      <c r="K6" s="139"/>
      <c r="L6" s="140"/>
      <c r="M6" s="149"/>
      <c r="N6" s="58"/>
      <c r="O6" s="80"/>
      <c r="P6" s="58"/>
      <c r="Q6" s="82"/>
      <c r="R6" s="75"/>
      <c r="S6" s="74"/>
      <c r="T6" s="80"/>
      <c r="U6" s="80"/>
      <c r="V6" s="80"/>
      <c r="W6" s="83"/>
      <c r="X6" s="80"/>
      <c r="Y6" s="80"/>
      <c r="Z6" s="80"/>
      <c r="AA6" s="80"/>
      <c r="AB6" s="81"/>
      <c r="AC6" s="81"/>
      <c r="AD6" s="80"/>
      <c r="AE6" s="80"/>
      <c r="AF6" s="80"/>
      <c r="AG6" s="80"/>
      <c r="AH6" s="58"/>
      <c r="AI6" s="83"/>
      <c r="AJ6" s="74"/>
      <c r="AK6" s="83"/>
      <c r="AL6" s="83"/>
      <c r="AM6" s="83"/>
      <c r="AN6" s="58"/>
      <c r="AO6" s="80"/>
      <c r="AP6" s="58"/>
      <c r="AQ6" s="58"/>
      <c r="AR6" s="58"/>
      <c r="AS6" s="75"/>
      <c r="AT6" s="75"/>
      <c r="AU6" s="58"/>
      <c r="AV6" s="58"/>
      <c r="AW6" s="58"/>
      <c r="AX6" s="58"/>
      <c r="AY6" s="58"/>
      <c r="AZ6" s="58"/>
      <c r="BA6" s="58"/>
      <c r="BB6" s="58"/>
      <c r="BC6" s="58"/>
      <c r="BD6" s="58"/>
      <c r="BE6" s="58"/>
      <c r="BF6" s="58"/>
      <c r="BG6" s="58"/>
      <c r="BH6" s="58"/>
      <c r="BI6" s="76"/>
      <c r="BJ6" s="76"/>
      <c r="BK6" s="76"/>
      <c r="BL6" s="58"/>
      <c r="BM6" s="84"/>
      <c r="BN6" s="58"/>
      <c r="BO6" s="74"/>
      <c r="BP6" s="58"/>
      <c r="BQ6" s="85"/>
      <c r="BR6" s="86"/>
      <c r="BS6" s="87"/>
      <c r="BT6" s="87"/>
      <c r="BU6" s="87"/>
      <c r="BV6" s="87"/>
      <c r="BW6" s="87"/>
      <c r="BX6" s="87"/>
      <c r="BY6" s="88"/>
      <c r="BZ6" s="87"/>
      <c r="CA6" s="87"/>
      <c r="CB6" s="87"/>
      <c r="CC6" s="87"/>
      <c r="CD6" s="87"/>
      <c r="CE6" s="87"/>
      <c r="CF6" s="87"/>
      <c r="CG6" s="87"/>
      <c r="CH6" s="87"/>
      <c r="CI6" s="87"/>
      <c r="CJ6" s="87"/>
      <c r="CK6" s="87"/>
      <c r="CL6" s="87"/>
      <c r="CM6" s="87"/>
      <c r="CN6" s="87"/>
      <c r="CO6" s="87"/>
      <c r="CP6" s="87"/>
      <c r="CQ6" s="87"/>
      <c r="CR6" s="87"/>
      <c r="CS6" s="87"/>
      <c r="CT6" s="87"/>
      <c r="CU6" s="87"/>
      <c r="CV6" s="87"/>
      <c r="CW6" s="87"/>
      <c r="CX6" s="87"/>
      <c r="CY6" s="87"/>
      <c r="CZ6" s="87"/>
      <c r="DA6" s="87"/>
      <c r="DB6" s="87"/>
      <c r="DC6" s="87"/>
      <c r="DD6" s="87"/>
      <c r="DE6" s="87"/>
      <c r="DF6" s="87"/>
      <c r="DG6" s="87"/>
      <c r="DH6" s="87"/>
      <c r="DI6" s="87"/>
      <c r="DJ6" s="87"/>
      <c r="DK6" s="87"/>
      <c r="DL6" s="87"/>
      <c r="DM6" s="87"/>
      <c r="DN6" s="87"/>
      <c r="DO6" s="87"/>
      <c r="DP6" s="87"/>
      <c r="DQ6" s="87"/>
    </row>
    <row r="7" spans="1:121" ht="15" customHeight="1" x14ac:dyDescent="0.25">
      <c r="A7" s="59">
        <f>Input!A7</f>
        <v>10073</v>
      </c>
      <c r="B7" s="59" t="str">
        <f>Input!B7</f>
        <v>Hu1-13</v>
      </c>
      <c r="C7" s="59">
        <f>Input!O7</f>
        <v>2.0479949999551081</v>
      </c>
      <c r="D7" s="59">
        <f>C7*Input!P7/100</f>
        <v>2.1525117754532096E-2</v>
      </c>
      <c r="E7" s="60">
        <f>Input!M7</f>
        <v>2.71999724864878</v>
      </c>
      <c r="F7" s="61">
        <f>E7*Input!N7/100</f>
        <v>3.5993356440840055E-4</v>
      </c>
      <c r="G7" s="62">
        <f>E7*137.88</f>
        <v>375.03322064369377</v>
      </c>
      <c r="H7" s="61">
        <f>G7*Input!L7/100</f>
        <v>3.0663517461007192E-2</v>
      </c>
      <c r="I7" s="59">
        <v>0</v>
      </c>
      <c r="J7" s="63">
        <f>(((C7*Constants!$B$26*0.000000001*Input!G7*(Constants!$B$4/Constants!$B$3))-(I7*0.000000000000001))/Input!F7)*1000000000000</f>
        <v>742.95361167629494</v>
      </c>
      <c r="K7" s="59">
        <f>J7*Input!P7/100</f>
        <v>7.8086928814951735</v>
      </c>
      <c r="L7" s="64">
        <f>(J7/Constants!$B$4)*602200000000*Constants!$B$17/(365.2425*24*60)</f>
        <v>10.257299521611497</v>
      </c>
      <c r="M7" s="65">
        <f>L7*Input!P7/100</f>
        <v>0.10780767533662577</v>
      </c>
      <c r="N7" s="59">
        <v>0</v>
      </c>
      <c r="O7" s="63">
        <f>(((G7*Constants!$B$23*0.000000001*Input!G7*(Constants!$B$7/Constants!$B$6))-(N7*0.000000001))/Input!F7)*1000000</f>
        <v>13.70515798967547</v>
      </c>
      <c r="P7" s="59">
        <f>O7*Input!N7/100</f>
        <v>1.8135850572844195E-3</v>
      </c>
      <c r="Q7" s="66">
        <f>(O7/Constants!$B$7)*602200000000000000*Constants!$B$18/(365.2425*24*60)</f>
        <v>10.225702874159358</v>
      </c>
      <c r="R7" s="67">
        <f>Q7*Input!N7/100</f>
        <v>1.3531534584844936E-3</v>
      </c>
      <c r="S7" s="65">
        <f>Input!S7*Constants!$B$17/Constants!$B$18</f>
        <v>0.99777371410332394</v>
      </c>
      <c r="T7" s="59">
        <f>S7*Input!T7/100</f>
        <v>2.1404584197833392E-3</v>
      </c>
      <c r="U7" s="65">
        <f>S7</f>
        <v>0.99777371410332394</v>
      </c>
      <c r="V7" s="59">
        <f>U7*Input!T7/100</f>
        <v>2.1404584197833392E-3</v>
      </c>
      <c r="W7" s="68">
        <v>0</v>
      </c>
      <c r="X7" s="63">
        <f>(((Constants!$B$29*0.000000001*Input!G7/Input!W7*(Constants!$B$11/Constants!$B$9))-(W7*0.000000001))/Input!F7)*1000000000</f>
        <v>0.90854612831505988</v>
      </c>
      <c r="Y7" s="63">
        <f>X7*Input!X7/100</f>
        <v>5.7628196550166379E-3</v>
      </c>
      <c r="Z7" s="63">
        <f>(X7/Constants!$B$11)*6.022E+23*0.000000001*Constants!$B$19/(365.2425*24*60)</f>
        <v>2.2180548206488068E-4</v>
      </c>
      <c r="AA7" s="63">
        <f>Z7*Input!X7/100</f>
        <v>1.4068905824346653E-6</v>
      </c>
      <c r="AB7" s="64">
        <v>0</v>
      </c>
      <c r="AC7" s="64">
        <v>0.9</v>
      </c>
      <c r="AD7" s="63">
        <f>(((Input!G7*Constants!$B$29*0.000000001*Input!U7*(Constants!$B$10/Constants!$B$9))-((AB7*0.000000000000001)+(Input!G7*AC7*0.000000000000001)))/Input!F7)*1000000000000</f>
        <v>223.10698371789985</v>
      </c>
      <c r="AE7" s="63">
        <f>AD7*Input!V7/100</f>
        <v>0.56178732125452524</v>
      </c>
      <c r="AF7" s="63">
        <f>(AD7/Constants!$B$10)*602200000000*Constants!$B$16/(365.2425*24*60)</f>
        <v>10.183867410874573</v>
      </c>
      <c r="AG7" s="63">
        <f>AF7*Input!V7/100</f>
        <v>2.5643157813474909E-2</v>
      </c>
      <c r="AH7" s="59">
        <f>AF7/Z7</f>
        <v>45913.506357321108</v>
      </c>
      <c r="AI7" s="68">
        <f>AH7*SQRT((AG7/AF7)^2+(AA7/Z7)^2)</f>
        <v>313.33345028946587</v>
      </c>
      <c r="AJ7" s="65">
        <f t="shared" ref="AJ7:AJ23" si="0">(U7-1)*1000</f>
        <v>-2.2262858966760612</v>
      </c>
      <c r="AK7" s="68">
        <f>V7*1000</f>
        <v>2.1404584197833394</v>
      </c>
      <c r="AL7" s="68">
        <f>AF7/Q7</f>
        <v>0.99590879338079485</v>
      </c>
      <c r="AM7" s="68">
        <f>AL7*SQRT((R7/Q7)^2+(AG7/AF7)^2)</f>
        <v>2.5111764137754648E-3</v>
      </c>
      <c r="AN7" s="59">
        <f>AF7/Q7</f>
        <v>0.99590879338079485</v>
      </c>
      <c r="AO7" s="63">
        <f>AN7*SQRT((R7/Q7)^2+(AG7/AF7)^2)</f>
        <v>2.5111764137754648E-3</v>
      </c>
      <c r="AP7" s="59">
        <f t="shared" ref="AP7:AP23" si="1">ThU_Alter_Kombi(AN7,U7)</f>
        <v>764.70889999999997</v>
      </c>
      <c r="AQ7" s="59" t="e">
        <f t="shared" ref="AQ7:AQ23" si="2">Montealter(AN7,AO7,U7,V7)</f>
        <v>#VALUE!</v>
      </c>
      <c r="AR7" s="59" t="e">
        <f>(AQ7/AP7)*100</f>
        <v>#VALUE!</v>
      </c>
      <c r="AS7" s="67">
        <f>Z7/Q7</f>
        <v>2.1690976629625083E-5</v>
      </c>
      <c r="AT7" s="67">
        <f>AS7*SQRT((Y7/X7)^2+(P7/O7)^2)</f>
        <v>1.3761369130284453E-7</v>
      </c>
      <c r="AU7" s="59">
        <v>0.75</v>
      </c>
      <c r="AV7" s="59">
        <f>AU7/2</f>
        <v>0.375</v>
      </c>
      <c r="AW7" s="69">
        <f t="shared" ref="AW7:AW23" si="3">IF(X7="n.d.", U7, (U7-AS7*AU7)/(1-AS7*AU7))</f>
        <v>0.99777367788499827</v>
      </c>
      <c r="AX7" s="69">
        <f t="shared" ref="AX7:AX23" si="4">AW7*AY7</f>
        <v>2.1405240893926656E-3</v>
      </c>
      <c r="AY7" s="148">
        <f t="shared" ref="AY7:AY23" si="5">IF(X7="n.d.","n.d.",SQRT(((SQRT(V7^2+((AS7*AU7)*SQRT((AV7/AU7)^2+(AT7/AS7)^2))^2))/(U7-AS7*AU7))^2+(((AS7*AU7)*SQRT((AV7/AU7)^2+(AT7/AS7)^2))/(1-AS7*AU7))^2))</f>
        <v>2.1453002187129043E-3</v>
      </c>
      <c r="AZ7" s="69">
        <f t="shared" ref="AZ7:AZ23" si="6">IF(X7="n.d.", AN7, (AN7-AS7*AU7)/(1-AS7*AU7))</f>
        <v>0.99590872682301168</v>
      </c>
      <c r="BA7" s="69">
        <f t="shared" ref="BA7:BA23" si="7">AZ7*BB7</f>
        <v>2.5112435115303335E-3</v>
      </c>
      <c r="BB7" s="148">
        <f t="shared" ref="BB7:BB23" si="8">IF(X7="n.d.","n.d.",SQRT(((SQRT(AO7^2+((AS7*AU7)*SQRT((AV7/AU7)^2+(AT7/AS7)^2))^2))/(AN7-AS7*AU7))^2+(((AS7*AU7)*SQRT((AV7/AU7)^2+(AT7/AS7)^2))/(1-AS7*AU7))^2))</f>
        <v>2.5215599019212331E-3</v>
      </c>
      <c r="BC7" s="59">
        <f t="shared" ref="BC7:BC23" si="9">ThU_Alter_Kombi(AZ7,AW7)</f>
        <v>764.70159999999998</v>
      </c>
      <c r="BD7" s="59" t="e">
        <f t="shared" ref="BD7:BD23" si="10">Montealter(AZ7,BA7,AW7,AX7)</f>
        <v>#VALUE!</v>
      </c>
      <c r="BE7" s="148" t="e">
        <f t="shared" ref="BE7:BE23" si="11">(BD7/BC7)</f>
        <v>#VALUE!</v>
      </c>
      <c r="BF7" s="59"/>
      <c r="BG7" s="59"/>
      <c r="BH7" s="59">
        <f t="shared" ref="BH7:BH23" si="12">marincorr_age(AN7,U7,AS7,AU7)</f>
        <v>764.70709999999997</v>
      </c>
      <c r="BI7" s="69">
        <f t="shared" ref="BI7:BI23" si="13">marincorr_age_error(AN7, AO7, U7, V7, AS7, AT7, AU7, AV7)</f>
        <v>332.67507471980002</v>
      </c>
      <c r="BJ7" s="69">
        <f t="shared" ref="BJ7:BJ23" si="14">SQRT(((AU7*EXP(-0.0000091577*BH7*1000))/(0.0000091577*(EXP(-0.0000091577*BH7*1000)+(AJ7/1000)*EXP(-(0.0000091577-0.0000028263)*BH7*1000)-AS7*AU7*EXP(-0.0000091577*BH7*1000))))^2*AT7^2+((AS7*EXP(-0.0000091577*BH7*1000))/(0.0000091577*(EXP(-0.0000091577*BH7*1000)+(AJ7/1000)*EXP(-(0.0000091577-0.0000028263)*BH7*1000)-AS7*AU7*EXP(-0.0000091577*BH7*1000))))^2*AV7^2+((0.0000091577/(0.0000091577-0.0000028263))*(EXP(-(0.0000091577-0.0000028263)*BH7*1000)-1)/(0.0000091577*(EXP(-0.0000091577*BH7*1000)+(AJ7/1000)*EXP(-(0.0000091577-0.0000028263)*BH7*1000)-AS7*AU7*EXP(-0.0000091577*BH7*1000))))^2*T7^2+(1/(0.0000091577*(EXP(-0.0000091577*BH7*1000)+(AJ7/1000)*EXP(-(0.0000091577-0.0000028263)*BH7*1000)-AS7*AU7*EXP(-0.0000091577*BH7*1000))))^2*AO7^2)/1000</f>
        <v>485.90165889358707</v>
      </c>
      <c r="BK7" s="148">
        <f>BJ7/BH7</f>
        <v>0.63540884986367607</v>
      </c>
      <c r="BL7" s="59" t="str">
        <f>Input!B7</f>
        <v>Hu1-13</v>
      </c>
      <c r="BM7" s="70">
        <f>Input!E7</f>
        <v>0</v>
      </c>
      <c r="BN7" s="59">
        <f>((U7-1)*EXP(Constants!$B$17*BH7*1000))*1000</f>
        <v>-19.266811386589882</v>
      </c>
      <c r="BO7" s="65">
        <f t="shared" ref="BO7:BO23" si="15">SQRT((EXP(0.0000028263*BH7*1000)*V7)^2+((U7-1)*0.0000028263*EXP(0.0000028263*BH7*1000)*BJ7*1000)^2)*1000</f>
        <v>32.403944538791151</v>
      </c>
      <c r="BP7" s="59">
        <f t="shared" ref="BP7:BP18" si="16">BH7*1000-58</f>
        <v>764649.1</v>
      </c>
      <c r="BQ7" s="71">
        <f t="shared" ref="BQ7:BQ18" si="17">BJ7/2*1000</f>
        <v>242950.82944679353</v>
      </c>
      <c r="BR7" s="72">
        <f t="shared" ref="BR7:BR18" si="18">BJ7/BH7*100</f>
        <v>63.540884986367608</v>
      </c>
      <c r="BS7" s="73"/>
      <c r="BT7" s="87"/>
      <c r="BU7" s="87"/>
      <c r="BV7" s="87"/>
      <c r="BW7" s="87"/>
      <c r="BX7" s="87"/>
      <c r="BY7" s="88"/>
      <c r="BZ7" s="87"/>
      <c r="CA7" s="87"/>
      <c r="CB7" s="87"/>
      <c r="CC7" s="87"/>
      <c r="CD7" s="87"/>
      <c r="CE7" s="87"/>
      <c r="CF7" s="87"/>
      <c r="CG7" s="87"/>
      <c r="CH7" s="87"/>
      <c r="CI7" s="87"/>
      <c r="CJ7" s="87"/>
      <c r="CK7" s="87"/>
      <c r="CL7" s="87"/>
      <c r="CM7" s="87"/>
      <c r="CN7" s="87"/>
      <c r="CO7" s="87"/>
      <c r="CP7" s="87"/>
      <c r="CQ7" s="87"/>
      <c r="CR7" s="87"/>
      <c r="CS7" s="87"/>
      <c r="CT7" s="87"/>
      <c r="CU7" s="87"/>
      <c r="CV7" s="87"/>
      <c r="CW7" s="87"/>
      <c r="CX7" s="87"/>
      <c r="CY7" s="87"/>
      <c r="CZ7" s="87"/>
      <c r="DA7" s="87"/>
      <c r="DB7" s="87"/>
      <c r="DC7" s="87"/>
      <c r="DD7" s="87"/>
      <c r="DE7" s="87"/>
      <c r="DF7" s="87"/>
      <c r="DG7" s="87"/>
      <c r="DH7" s="87"/>
      <c r="DI7" s="87"/>
      <c r="DJ7" s="87"/>
      <c r="DK7" s="87"/>
      <c r="DL7" s="87"/>
      <c r="DM7" s="87"/>
      <c r="DN7" s="87"/>
      <c r="DO7" s="87"/>
      <c r="DP7" s="87"/>
      <c r="DQ7" s="87"/>
    </row>
    <row r="8" spans="1:121" ht="15" customHeight="1" x14ac:dyDescent="0.25">
      <c r="A8" s="58">
        <f>Input!A8</f>
        <v>10176</v>
      </c>
      <c r="B8" s="58" t="str">
        <f>Input!B8</f>
        <v>LA-10-01 top</v>
      </c>
      <c r="C8" s="58">
        <f>Input!O8</f>
        <v>0.82829198158537787</v>
      </c>
      <c r="D8" s="58">
        <f>C8*Input!P8/100</f>
        <v>2.8136670285681077E-3</v>
      </c>
      <c r="E8" s="77">
        <f>Input!M8</f>
        <v>0.86089128897677636</v>
      </c>
      <c r="F8" s="78">
        <f>E8*Input!N8/100</f>
        <v>6.157901955500608E-5</v>
      </c>
      <c r="G8" s="79">
        <f>E8*137.88</f>
        <v>118.69969092411792</v>
      </c>
      <c r="H8" s="78">
        <f>G8*Input!L8/100</f>
        <v>8.9984295797315376E-3</v>
      </c>
      <c r="I8" s="58">
        <v>0.3</v>
      </c>
      <c r="J8" s="80">
        <f>(((C8*Constants!$B$26*0.000000001*Input!G8*(Constants!$B$4/Constants!$B$3))-(I8*0.000000000000001))/Input!F8)*1000000000000</f>
        <v>16.999671056729714</v>
      </c>
      <c r="K8" s="58">
        <f>J8*Input!P8/100</f>
        <v>5.7747044535277361E-2</v>
      </c>
      <c r="L8" s="81">
        <f>(J8/Constants!$B$4)*602200000000*Constants!$B$17/(365.2425*24*60)</f>
        <v>0.23469933392519784</v>
      </c>
      <c r="M8" s="74">
        <f>L8*Input!P8/100</f>
        <v>7.972620672099998E-4</v>
      </c>
      <c r="N8" s="58">
        <v>5.0000000000000001E-3</v>
      </c>
      <c r="O8" s="80">
        <f>(((G8*Constants!$B$23*0.000000001*Input!G8*(Constants!$B$7/Constants!$B$6))-(N8*0.000000001))/Input!F8)*1000000</f>
        <v>0.24540412936304543</v>
      </c>
      <c r="P8" s="58">
        <f>O8*Input!N8/100</f>
        <v>1.7553605053766403E-5</v>
      </c>
      <c r="Q8" s="82">
        <f>(O8/Constants!$B$7)*602200000000000000*Constants!$B$18/(365.2425*24*60)</f>
        <v>0.18310111513115729</v>
      </c>
      <c r="R8" s="75">
        <f>Q8*Input!N8/100</f>
        <v>1.3097109116536916E-5</v>
      </c>
      <c r="S8" s="74">
        <f>Input!S8*Constants!$B$17/Constants!$B$18</f>
        <v>1.2723319887692615</v>
      </c>
      <c r="T8" s="58">
        <f>S8*Input!T8/100</f>
        <v>1.598129231433186E-3</v>
      </c>
      <c r="U8" s="58">
        <f>S8*1/((U7+U9)/2)</f>
        <v>1.2754729844025505</v>
      </c>
      <c r="V8" s="58">
        <f>U8*Input!T8/100</f>
        <v>1.6020745200698561E-3</v>
      </c>
      <c r="W8" s="83">
        <v>3.0000000000000001E-3</v>
      </c>
      <c r="X8" s="80">
        <f>IF((((Constants!$B$29*0.000000001*Input!G8/Input!W8*(Constants!$B$11/Constants!$B$9))-(W8*0.000000001))/Input!F8)*1000000000&lt;0, "", (((Constants!$B$29*0.000000001*Input!G8/Input!W8*(Constants!$B$11/Constants!$B$9))-(W8*0.000000001))/Input!F8)*1000000000)</f>
        <v>3.308837177413201</v>
      </c>
      <c r="Y8" s="80">
        <f>X8*Input!X8/100</f>
        <v>5.3228712878760718E-3</v>
      </c>
      <c r="Z8" s="80">
        <f>(X8/Constants!$B$11)*6.022E+23*0.000000001*Constants!$B$19/(365.2425*24*60)</f>
        <v>8.0779412551283333E-4</v>
      </c>
      <c r="AA8" s="80">
        <f>Z8*Input!X8/100</f>
        <v>1.2994849630433393E-6</v>
      </c>
      <c r="AB8" s="81">
        <v>0.05</v>
      </c>
      <c r="AC8" s="81">
        <v>0.9</v>
      </c>
      <c r="AD8" s="80">
        <f>(((Input!G8*Constants!$B$29*0.000000001*Input!U8*(Constants!$B$10/Constants!$B$9))-((AB8*0.000000000000001)+(Input!G8*AC8*0.000000000000001)))/Input!F8)*1000000000000</f>
        <v>3.5122441730026961</v>
      </c>
      <c r="AE8" s="80">
        <f>AD8*Input!V8/100</f>
        <v>7.1791041359789386E-3</v>
      </c>
      <c r="AF8" s="80">
        <f>(AD8/Constants!$B$10)*602200000000*Constants!$B$16/(365.2425*24*60)</f>
        <v>0.16031873308682354</v>
      </c>
      <c r="AG8" s="80">
        <f>AF8*Input!V8/100</f>
        <v>3.2769500726213742E-4</v>
      </c>
      <c r="AH8" s="58">
        <f>AF8/Z8</f>
        <v>198.46484150283237</v>
      </c>
      <c r="AI8" s="83">
        <f>AH8*SQRT((AG8/AF8)^2+(AA8/Z8)^2)</f>
        <v>0.51623325500695716</v>
      </c>
      <c r="AJ8" s="74">
        <f t="shared" si="0"/>
        <v>275.47298440255054</v>
      </c>
      <c r="AK8" s="83">
        <f>V8*1000</f>
        <v>1.6020745200698561</v>
      </c>
      <c r="AL8" s="83">
        <f>AF8/Q8</f>
        <v>0.87557485912625665</v>
      </c>
      <c r="AM8" s="83">
        <f>AL8*SQRT((R8/Q8)^2+(AG8/AF8)^2)</f>
        <v>1.7907897225537903E-3</v>
      </c>
      <c r="AN8" s="58">
        <f>AL8*1/((AN7+AN9)/2)</f>
        <v>0.8761460351083542</v>
      </c>
      <c r="AO8" s="80">
        <f>AN8*SQRT((R8/Q8)^2+(AG8/AF8)^2)</f>
        <v>1.7919579334358738E-3</v>
      </c>
      <c r="AP8" s="58">
        <f>ThU_Alter_Kombi(AN8,U8)</f>
        <v>119.2216</v>
      </c>
      <c r="AQ8" s="58">
        <f t="shared" si="2"/>
        <v>0.50560000000000005</v>
      </c>
      <c r="AR8" s="144">
        <f>(AQ8/AP8)</f>
        <v>4.2408422634824571E-3</v>
      </c>
      <c r="AS8" s="75">
        <f>IF(X8="n.d.", "n.d.", Z8/Q8)</f>
        <v>4.4117378801008487E-3</v>
      </c>
      <c r="AT8" s="75">
        <f>IF(X8="n.d.", "n.d.", AS8*SQRT((Y8/X8)^2+(P8/O8)^2))</f>
        <v>7.1041016386612698E-6</v>
      </c>
      <c r="AU8" s="58">
        <v>20.28</v>
      </c>
      <c r="AV8" s="58">
        <v>8.27</v>
      </c>
      <c r="AW8" s="76">
        <f t="shared" si="3"/>
        <v>1.3025413745592502</v>
      </c>
      <c r="AX8" s="76">
        <f t="shared" si="4"/>
        <v>6.5824710762267882E-2</v>
      </c>
      <c r="AY8" s="144">
        <f t="shared" si="5"/>
        <v>5.0535600671066154E-2</v>
      </c>
      <c r="AZ8" s="76">
        <f>IF(X8="n.d.", AN8, (AN8-AS8*AU8)/(1-AS8*AU8))</f>
        <v>0.86397595806282368</v>
      </c>
      <c r="BA8" s="76">
        <f t="shared" si="7"/>
        <v>5.2991072658042197E-2</v>
      </c>
      <c r="BB8" s="144">
        <f t="shared" si="8"/>
        <v>6.1333966719232448E-2</v>
      </c>
      <c r="BC8" s="58">
        <f t="shared" si="9"/>
        <v>111.92140000000001</v>
      </c>
      <c r="BD8" s="58">
        <f t="shared" si="10"/>
        <v>16.520900000000001</v>
      </c>
      <c r="BE8" s="144">
        <f t="shared" si="11"/>
        <v>0.14761162744568956</v>
      </c>
      <c r="BF8" s="144"/>
      <c r="BG8" s="144"/>
      <c r="BH8" s="58">
        <f t="shared" si="12"/>
        <v>111.92140000000001</v>
      </c>
      <c r="BI8" s="76">
        <f>marincorr_age_error(AN8, AO8, U8, V8, AS8, AT8, AU8, AV8)</f>
        <v>3.0701907201999998</v>
      </c>
      <c r="BJ8" s="76">
        <f t="shared" si="14"/>
        <v>3.1331758439234325</v>
      </c>
      <c r="BK8" s="144">
        <f>BJ8/BH8</f>
        <v>2.7994430412087701E-2</v>
      </c>
      <c r="BL8" s="58" t="str">
        <f>Input!B8</f>
        <v>LA-10-01 top</v>
      </c>
      <c r="BM8" s="84">
        <f>Input!E8</f>
        <v>0</v>
      </c>
      <c r="BN8" s="58">
        <f>((U8-1)*EXP(Constants!$B$17*BH8*1000))*1000</f>
        <v>377.7899939319592</v>
      </c>
      <c r="BO8" s="74">
        <f t="shared" si="15"/>
        <v>4.0043147340157796</v>
      </c>
      <c r="BP8" s="58">
        <f t="shared" si="16"/>
        <v>111863.40000000001</v>
      </c>
      <c r="BQ8" s="85">
        <f t="shared" si="17"/>
        <v>1566.5879219617163</v>
      </c>
      <c r="BR8" s="86">
        <f t="shared" si="18"/>
        <v>2.7994430412087703</v>
      </c>
      <c r="BS8" s="87"/>
      <c r="BT8" s="87"/>
      <c r="BU8" s="87"/>
      <c r="BV8" s="87"/>
      <c r="BW8" s="87"/>
      <c r="BX8" s="87"/>
      <c r="BY8" s="88"/>
      <c r="BZ8" s="87"/>
      <c r="CA8" s="87"/>
      <c r="CB8" s="87"/>
      <c r="CC8" s="87"/>
      <c r="CD8" s="87"/>
      <c r="CE8" s="87"/>
      <c r="CF8" s="87"/>
      <c r="CG8" s="87"/>
      <c r="CH8" s="87"/>
      <c r="CI8" s="87"/>
      <c r="CJ8" s="87"/>
      <c r="CK8" s="87"/>
      <c r="CL8" s="87"/>
      <c r="CM8" s="87"/>
      <c r="CN8" s="87"/>
      <c r="CO8" s="87"/>
      <c r="CP8" s="87"/>
      <c r="CQ8" s="87"/>
      <c r="CR8" s="87"/>
      <c r="CS8" s="87"/>
      <c r="CT8" s="87"/>
      <c r="CU8" s="87"/>
      <c r="CV8" s="87"/>
      <c r="CW8" s="87"/>
      <c r="CX8" s="87"/>
      <c r="CY8" s="87"/>
      <c r="CZ8" s="87"/>
      <c r="DA8" s="87"/>
      <c r="DB8" s="87"/>
      <c r="DC8" s="87"/>
      <c r="DD8" s="87"/>
      <c r="DE8" s="87"/>
      <c r="DF8" s="87"/>
      <c r="DG8" s="87"/>
      <c r="DH8" s="87"/>
      <c r="DI8" s="87"/>
      <c r="DJ8" s="87"/>
      <c r="DK8" s="87"/>
      <c r="DL8" s="87"/>
      <c r="DM8" s="87"/>
      <c r="DN8" s="87"/>
      <c r="DO8" s="87"/>
      <c r="DP8" s="87"/>
      <c r="DQ8" s="87"/>
    </row>
    <row r="9" spans="1:121" ht="15" customHeight="1" x14ac:dyDescent="0.25">
      <c r="A9" s="59">
        <f>Input!A9</f>
        <v>10073</v>
      </c>
      <c r="B9" s="59" t="str">
        <f>Input!B9</f>
        <v>Hu1-13</v>
      </c>
      <c r="C9" s="59">
        <f>Input!O9</f>
        <v>2.0489439287052078</v>
      </c>
      <c r="D9" s="59">
        <f>C9*Input!P9/100</f>
        <v>2.0368774601974522E-2</v>
      </c>
      <c r="E9" s="60">
        <f>Input!M9</f>
        <v>2.7200163727276125</v>
      </c>
      <c r="F9" s="61">
        <f>E9*Input!N9/100</f>
        <v>4.3388492325752419E-4</v>
      </c>
      <c r="G9" s="62">
        <f t="shared" ref="G9:G19" si="19">E9*137.88</f>
        <v>375.03585747168319</v>
      </c>
      <c r="H9" s="61">
        <f>G9*Input!L9/100</f>
        <v>2.8646758110804273E-2</v>
      </c>
      <c r="I9" s="59">
        <v>0</v>
      </c>
      <c r="J9" s="63">
        <f>(((C9*Constants!$B$26*0.000000001*Input!G9*(Constants!$B$4/Constants!$B$3))-(I9*0.000000000000001))/Input!F9)*1000000000000</f>
        <v>743.29785570136619</v>
      </c>
      <c r="K9" s="59">
        <f>J9*Input!P9/100</f>
        <v>7.3892048839421367</v>
      </c>
      <c r="L9" s="64">
        <f>(J9/Constants!$B$4)*602200000000*Constants!$B$17/(365.2425*24*60)</f>
        <v>10.262052192596856</v>
      </c>
      <c r="M9" s="65">
        <f>L9*Input!P9/100</f>
        <v>0.10201617776665735</v>
      </c>
      <c r="N9" s="59">
        <v>0</v>
      </c>
      <c r="O9" s="63">
        <f>(((G9*Constants!$B$23*0.000000001*Input!G9*(Constants!$B$7/Constants!$B$6))-(N9*0.000000001))/Input!F9)*1000000</f>
        <v>13.705254349523603</v>
      </c>
      <c r="P9" s="59">
        <f>O9*Input!N9/100</f>
        <v>2.1862012638198896E-3</v>
      </c>
      <c r="Q9" s="66">
        <f>(O9/Constants!$B$7)*602200000000000000*Constants!$B$18/(365.2425*24*60)</f>
        <v>10.225774770242332</v>
      </c>
      <c r="R9" s="67">
        <f>Q9*Input!N9/100</f>
        <v>1.6311701451216343E-3</v>
      </c>
      <c r="S9" s="65">
        <f>Input!S9*Constants!$B$17/Constants!$B$18</f>
        <v>0.99730106102449201</v>
      </c>
      <c r="T9" s="59">
        <f>S9*Input!T9/100</f>
        <v>1.1692314414904002E-3</v>
      </c>
      <c r="U9" s="65">
        <f>S9</f>
        <v>0.99730106102449201</v>
      </c>
      <c r="V9" s="59">
        <f>U9*Input!T9/100</f>
        <v>1.1692314414904002E-3</v>
      </c>
      <c r="W9" s="68">
        <v>0</v>
      </c>
      <c r="X9" s="63">
        <f>(((Constants!$B$29*0.000000001*Input!G9/Input!W9*(Constants!$B$11/Constants!$B$9))-(W9*0.000000001))/Input!F9)*1000000000</f>
        <v>0.91961104380007219</v>
      </c>
      <c r="Y9" s="63">
        <f>X9*Input!X9/100</f>
        <v>5.6989426157594229E-3</v>
      </c>
      <c r="Z9" s="63">
        <f>(X9/Constants!$B$11)*6.022E+23*0.000000001*Constants!$B$19/(365.2425*24*60)</f>
        <v>2.2450678564944591E-4</v>
      </c>
      <c r="AA9" s="63">
        <f>Z9*Input!X9/100</f>
        <v>1.3912961320883748E-6</v>
      </c>
      <c r="AB9" s="64">
        <v>0</v>
      </c>
      <c r="AC9" s="64">
        <v>0.9</v>
      </c>
      <c r="AD9" s="63">
        <f>(((Input!G9*Constants!$B$29*0.000000001*Input!U9*(Constants!$B$10/Constants!$B$9))-((AB9*0.000000000000001)+(Input!G9*AC9*0.000000000000001)))/Input!F9)*1000000000000</f>
        <v>224.64952590477358</v>
      </c>
      <c r="AE9" s="63">
        <f>AD9*Input!V9/100</f>
        <v>0.81178211846416959</v>
      </c>
      <c r="AF9" s="63">
        <f>(AD9/Constants!$B$10)*602200000000*Constants!$B$16/(365.2425*24*60)</f>
        <v>10.254277780128927</v>
      </c>
      <c r="AG9" s="63">
        <f>AF9*Input!V9/100</f>
        <v>3.7054337444725673E-2</v>
      </c>
      <c r="AH9" s="59">
        <f t="shared" ref="AH9:AH19" si="20">AF9/Z9</f>
        <v>45674.689744747295</v>
      </c>
      <c r="AI9" s="68">
        <f t="shared" ref="AI9:AI19" si="21">AH9*SQRT((AG9/AF9)^2+(AA9/Z9)^2)</f>
        <v>327.65683353128247</v>
      </c>
      <c r="AJ9" s="65">
        <f t="shared" si="0"/>
        <v>-2.6989389755079918</v>
      </c>
      <c r="AK9" s="68">
        <f t="shared" ref="AK9:AK19" si="22">V9*1000</f>
        <v>1.1692314414904001</v>
      </c>
      <c r="AL9" s="68">
        <f t="shared" ref="AL9:AL19" si="23">AF9/Q9</f>
        <v>1.0027873692240457</v>
      </c>
      <c r="AM9" s="68">
        <f t="shared" ref="AM9:AM19" si="24">AL9*SQRT((R9/Q9)^2+(AG9/AF9)^2)</f>
        <v>3.627150414612181E-3</v>
      </c>
      <c r="AN9" s="59">
        <f>AF9/Q9</f>
        <v>1.0027873692240457</v>
      </c>
      <c r="AO9" s="63">
        <f t="shared" ref="AO9:AO19" si="25">AN9*SQRT((R9/Q9)^2+(AG9/AF9)^2)</f>
        <v>3.627150414612181E-3</v>
      </c>
      <c r="AP9" s="59" t="str">
        <f t="shared" si="1"/>
        <v>Out of range</v>
      </c>
      <c r="AQ9" s="59" t="e">
        <f t="shared" si="2"/>
        <v>#VALUE!</v>
      </c>
      <c r="AR9" s="59" t="e">
        <f>(AQ9/AP9)*100</f>
        <v>#VALUE!</v>
      </c>
      <c r="AS9" s="67">
        <f>Z9/Q9</f>
        <v>2.1954990276411643E-5</v>
      </c>
      <c r="AT9" s="67">
        <f>AS9*SQRT((Y9/X9)^2+(P9/O9)^2)</f>
        <v>1.3610283781129401E-7</v>
      </c>
      <c r="AU9" s="59">
        <v>0.75</v>
      </c>
      <c r="AV9" s="59">
        <f t="shared" ref="AV9:AV19" si="26">AU9/2</f>
        <v>0.375</v>
      </c>
      <c r="AW9" s="69">
        <f t="shared" si="3"/>
        <v>0.99730101658237602</v>
      </c>
      <c r="AX9" s="69">
        <f t="shared" si="4"/>
        <v>1.169308520178229E-3</v>
      </c>
      <c r="AY9" s="148">
        <f t="shared" si="5"/>
        <v>1.1724730053773542E-3</v>
      </c>
      <c r="AZ9" s="69">
        <f t="shared" si="6"/>
        <v>1.0027874151222995</v>
      </c>
      <c r="BA9" s="69">
        <f t="shared" si="7"/>
        <v>3.6272288844671832E-3</v>
      </c>
      <c r="BB9" s="148">
        <f t="shared" si="8"/>
        <v>3.61714639590367E-3</v>
      </c>
      <c r="BC9" s="59" t="str">
        <f t="shared" si="9"/>
        <v>Out of range</v>
      </c>
      <c r="BD9" s="59" t="e">
        <f t="shared" si="10"/>
        <v>#VALUE!</v>
      </c>
      <c r="BE9" s="148" t="e">
        <f t="shared" si="11"/>
        <v>#VALUE!</v>
      </c>
      <c r="BF9" s="59"/>
      <c r="BG9" s="59"/>
      <c r="BH9" s="59" t="str">
        <f t="shared" si="12"/>
        <v>Out of range</v>
      </c>
      <c r="BI9" s="69">
        <f t="shared" si="13"/>
        <v>116.80090135179999</v>
      </c>
      <c r="BJ9" s="69" t="e">
        <f t="shared" si="14"/>
        <v>#VALUE!</v>
      </c>
      <c r="BK9" s="148" t="e">
        <f>BJ9/BH9</f>
        <v>#VALUE!</v>
      </c>
      <c r="BL9" s="59" t="str">
        <f>Input!B9</f>
        <v>Hu1-13</v>
      </c>
      <c r="BM9" s="70">
        <f>Input!E9</f>
        <v>0</v>
      </c>
      <c r="BN9" s="59" t="e">
        <f>((U9-1)*EXP(Constants!$B$17*BH9*1000))*1000</f>
        <v>#VALUE!</v>
      </c>
      <c r="BO9" s="65" t="e">
        <f t="shared" si="15"/>
        <v>#VALUE!</v>
      </c>
      <c r="BP9" s="59" t="e">
        <f t="shared" si="16"/>
        <v>#VALUE!</v>
      </c>
      <c r="BQ9" s="71" t="e">
        <f t="shared" si="17"/>
        <v>#VALUE!</v>
      </c>
      <c r="BR9" s="72" t="e">
        <f t="shared" si="18"/>
        <v>#VALUE!</v>
      </c>
      <c r="BS9" s="73"/>
      <c r="BT9" s="87"/>
      <c r="BU9" s="87"/>
      <c r="BV9" s="87"/>
      <c r="BW9" s="87"/>
      <c r="BX9" s="87"/>
      <c r="BY9" s="88"/>
      <c r="BZ9" s="87"/>
      <c r="CA9" s="87"/>
      <c r="CB9" s="87"/>
      <c r="CC9" s="87"/>
      <c r="CD9" s="87"/>
      <c r="CE9" s="87"/>
      <c r="CF9" s="87"/>
      <c r="CG9" s="87"/>
      <c r="CH9" s="87"/>
      <c r="CI9" s="87"/>
      <c r="CJ9" s="87"/>
      <c r="CK9" s="87"/>
      <c r="CL9" s="87"/>
      <c r="CM9" s="87"/>
      <c r="CN9" s="87"/>
      <c r="CO9" s="87"/>
      <c r="CP9" s="87"/>
      <c r="CQ9" s="87"/>
      <c r="CR9" s="87"/>
      <c r="CS9" s="87"/>
      <c r="CT9" s="87"/>
      <c r="CU9" s="87"/>
      <c r="CV9" s="87"/>
      <c r="CW9" s="87"/>
      <c r="CX9" s="87"/>
      <c r="CY9" s="87"/>
      <c r="CZ9" s="87"/>
      <c r="DA9" s="87"/>
      <c r="DB9" s="87"/>
      <c r="DC9" s="87"/>
      <c r="DD9" s="87"/>
      <c r="DE9" s="87"/>
      <c r="DF9" s="87"/>
      <c r="DG9" s="87"/>
      <c r="DH9" s="87"/>
      <c r="DI9" s="87"/>
      <c r="DJ9" s="87"/>
      <c r="DK9" s="87"/>
      <c r="DL9" s="87"/>
      <c r="DM9" s="87"/>
      <c r="DN9" s="87"/>
      <c r="DO9" s="87"/>
      <c r="DP9" s="87"/>
      <c r="DQ9" s="87"/>
    </row>
    <row r="10" spans="1:121" ht="15" customHeight="1" x14ac:dyDescent="0.25">
      <c r="A10" s="58">
        <f>Input!A10</f>
        <v>10177</v>
      </c>
      <c r="B10" s="58" t="str">
        <f>Input!B10</f>
        <v>LA-10-01 bottom</v>
      </c>
      <c r="C10" s="58">
        <f>Input!O10</f>
        <v>0.3284935961074299</v>
      </c>
      <c r="D10" s="58">
        <f>C10*Input!P10/100</f>
        <v>1.3413871936432456E-3</v>
      </c>
      <c r="E10" s="77">
        <f>Input!M10</f>
        <v>0.38833763537914062</v>
      </c>
      <c r="F10" s="78">
        <f>E10*Input!N10/100</f>
        <v>4.2077549098710501E-5</v>
      </c>
      <c r="G10" s="79">
        <f t="shared" si="19"/>
        <v>53.543993166075907</v>
      </c>
      <c r="H10" s="78">
        <f>G10*Input!L10/100</f>
        <v>5.8015155081392929E-3</v>
      </c>
      <c r="I10" s="58">
        <v>0.3</v>
      </c>
      <c r="J10" s="80">
        <f>(((C10*Constants!$B$26*0.000000001*Input!G10*(Constants!$B$4/Constants!$B$3))-(I10*0.000000000000001))/Input!F10)*1000000000000</f>
        <v>6.874648210124132</v>
      </c>
      <c r="K10" s="58">
        <f>J10*Input!P10/100</f>
        <v>2.8072282623272719E-2</v>
      </c>
      <c r="L10" s="81">
        <f>(J10/Constants!$B$4)*602200000000*Constants!$B$17/(365.2425*24*60)</f>
        <v>9.491215156468899E-2</v>
      </c>
      <c r="M10" s="74">
        <f>L10*Input!P10/100</f>
        <v>3.8756903068626043E-4</v>
      </c>
      <c r="N10" s="58">
        <v>5.0000000000000001E-3</v>
      </c>
      <c r="O10" s="80">
        <f>(((G10*Constants!$B$23*0.000000001*Input!G10*(Constants!$B$7/Constants!$B$6))-(N10*0.000000001))/Input!F10)*1000000</f>
        <v>0.11287928026540782</v>
      </c>
      <c r="P10" s="58">
        <f>O10*Input!N10/100</f>
        <v>1.2230809030285217E-5</v>
      </c>
      <c r="Q10" s="82">
        <f>(O10/Constants!$B$7)*602200000000000000*Constants!$B$18/(365.2425*24*60)</f>
        <v>8.4221574206774438E-2</v>
      </c>
      <c r="R10" s="75">
        <f>Q10*Input!N10/100</f>
        <v>9.1256605103348608E-6</v>
      </c>
      <c r="S10" s="74">
        <f>Input!S10*Constants!$B$17/Constants!$B$18</f>
        <v>1.1225221394478195</v>
      </c>
      <c r="T10" s="58">
        <f>S10*Input!T10/100</f>
        <v>3.7514390126819441E-3</v>
      </c>
      <c r="U10" s="58">
        <f>S10*1/((U9+U11)/2)</f>
        <v>1.1246098425470858</v>
      </c>
      <c r="V10" s="58">
        <f>U10*Input!T10/100</f>
        <v>3.7584160606868389E-3</v>
      </c>
      <c r="W10" s="83">
        <v>3.0000000000000001E-3</v>
      </c>
      <c r="X10" s="80">
        <f>IF((((Constants!$B$29*0.000000001*Input!G10/Input!W10*(Constants!$B$11/Constants!$B$9))-(W10*0.000000001))/Input!F10)*1000000000&lt;0, "n.d.", (((Constants!$B$29*0.000000001*Input!G10/Input!W10*(Constants!$B$11/Constants!$B$9))-(W10*0.000000001))/Input!F10)*1000000000)</f>
        <v>0.82466166494662063</v>
      </c>
      <c r="Y10" s="80">
        <f>X10*Input!X10/100</f>
        <v>2.1626132770504029E-3</v>
      </c>
      <c r="Z10" s="80">
        <f>(X10/Constants!$B$11)*6.022E+23*0.000000001*Constants!$B$19/(365.2425*24*60)</f>
        <v>2.0132657267841266E-4</v>
      </c>
      <c r="AA10" s="80">
        <f>Z10*Input!X10/100</f>
        <v>5.279638154703972E-7</v>
      </c>
      <c r="AB10" s="81">
        <v>0.05</v>
      </c>
      <c r="AC10" s="81">
        <v>0.9</v>
      </c>
      <c r="AD10" s="80">
        <f>(((Input!G10*Constants!$B$29*0.000000001*Input!U10*(Constants!$B$10/Constants!$B$9))-((AB10*0.000000000000001)+(Input!G10*AC10*0.000000000000001)))/Input!F10)*1000000000000</f>
        <v>1.900552288121506</v>
      </c>
      <c r="AE10" s="80">
        <f>AD10*Input!V10/100</f>
        <v>1.0414093202542623E-2</v>
      </c>
      <c r="AF10" s="80">
        <f>(AD10/Constants!$B$10)*602200000000*Constants!$B$16/(365.2425*24*60)</f>
        <v>8.6751979642808716E-2</v>
      </c>
      <c r="AG10" s="80">
        <f>AF10*Input!V10/100</f>
        <v>4.7535824568038993E-4</v>
      </c>
      <c r="AH10" s="58">
        <f t="shared" si="20"/>
        <v>430.90178553519252</v>
      </c>
      <c r="AI10" s="83">
        <f t="shared" si="21"/>
        <v>2.6176044019086122</v>
      </c>
      <c r="AJ10" s="74">
        <f t="shared" si="0"/>
        <v>124.60984254708585</v>
      </c>
      <c r="AK10" s="83">
        <f t="shared" si="22"/>
        <v>3.7584160606868391</v>
      </c>
      <c r="AL10" s="83">
        <f t="shared" si="23"/>
        <v>1.0300446228875018</v>
      </c>
      <c r="AM10" s="83">
        <f t="shared" si="24"/>
        <v>5.6452420688284178E-3</v>
      </c>
      <c r="AN10" s="58">
        <f>AL10*1/((AN9+AN11)/2)</f>
        <v>1.0282588666832144</v>
      </c>
      <c r="AO10" s="80">
        <f t="shared" si="25"/>
        <v>5.6354550889004471E-3</v>
      </c>
      <c r="AP10" s="58">
        <f t="shared" si="1"/>
        <v>238.57230000000001</v>
      </c>
      <c r="AQ10" s="58">
        <f t="shared" si="2"/>
        <v>5.4702000000000002</v>
      </c>
      <c r="AR10" s="144">
        <f>(AQ10/AP10)</f>
        <v>2.2928898283664952E-2</v>
      </c>
      <c r="AS10" s="75">
        <f>IF(X10="n.d.", "n.d.", Z10/Q10)</f>
        <v>2.3904394399483779E-3</v>
      </c>
      <c r="AT10" s="75">
        <f>IF(X10="n.d.", "n.d.", AS10*SQRT((Y10/X10)^2+(P10/O10)^2))</f>
        <v>6.2740965037684007E-6</v>
      </c>
      <c r="AU10" s="58">
        <v>20.28</v>
      </c>
      <c r="AV10" s="58">
        <v>8.27</v>
      </c>
      <c r="AW10" s="76">
        <f t="shared" si="3"/>
        <v>1.130958461489868</v>
      </c>
      <c r="AX10" s="76">
        <f t="shared" si="4"/>
        <v>3.1613215670968003E-2</v>
      </c>
      <c r="AY10" s="144">
        <f t="shared" si="5"/>
        <v>2.7952587780564756E-2</v>
      </c>
      <c r="AZ10" s="76">
        <f t="shared" si="6"/>
        <v>1.0296985986711495</v>
      </c>
      <c r="BA10" s="76">
        <f t="shared" si="7"/>
        <v>3.0404398702946683E-2</v>
      </c>
      <c r="BB10" s="144">
        <f t="shared" si="8"/>
        <v>2.9527474099881539E-2</v>
      </c>
      <c r="BC10" s="58">
        <f t="shared" si="9"/>
        <v>234.2336</v>
      </c>
      <c r="BD10" s="58" t="e">
        <f t="shared" si="10"/>
        <v>#VALUE!</v>
      </c>
      <c r="BE10" s="144" t="e">
        <f t="shared" si="11"/>
        <v>#VALUE!</v>
      </c>
      <c r="BF10" s="144"/>
      <c r="BG10" s="144"/>
      <c r="BH10" s="58">
        <f t="shared" si="12"/>
        <v>234.2337</v>
      </c>
      <c r="BI10" s="76">
        <f t="shared" si="13"/>
        <v>5.7966143869</v>
      </c>
      <c r="BJ10" s="76">
        <f t="shared" si="14"/>
        <v>5.7828919846190807</v>
      </c>
      <c r="BK10" s="144">
        <f>BJ10/BH10</f>
        <v>2.4688556704774253E-2</v>
      </c>
      <c r="BL10" s="58" t="str">
        <f>Input!B10</f>
        <v>LA-10-01 bottom</v>
      </c>
      <c r="BM10" s="84">
        <f>Input!E10</f>
        <v>0</v>
      </c>
      <c r="BN10" s="58">
        <f>((U10-1)*EXP(Constants!$B$17*BH10*1000))*1000</f>
        <v>241.34058504866252</v>
      </c>
      <c r="BO10" s="74">
        <f t="shared" si="15"/>
        <v>8.287463690646776</v>
      </c>
      <c r="BP10" s="58">
        <f t="shared" si="16"/>
        <v>234175.7</v>
      </c>
      <c r="BQ10" s="85">
        <f t="shared" si="17"/>
        <v>2891.4459923095405</v>
      </c>
      <c r="BR10" s="86">
        <f t="shared" si="18"/>
        <v>2.4688556704774252</v>
      </c>
      <c r="BS10" s="87"/>
      <c r="BT10" s="87"/>
      <c r="BU10" s="87"/>
      <c r="BV10" s="87"/>
      <c r="BW10" s="87"/>
      <c r="BX10" s="87"/>
      <c r="BY10" s="88"/>
      <c r="BZ10" s="87"/>
      <c r="CA10" s="87"/>
      <c r="CB10" s="87"/>
      <c r="CC10" s="87"/>
      <c r="CD10" s="87"/>
      <c r="CE10" s="87"/>
      <c r="CF10" s="87"/>
      <c r="CG10" s="87"/>
      <c r="CH10" s="87"/>
      <c r="CI10" s="87"/>
      <c r="CJ10" s="87"/>
      <c r="CK10" s="87"/>
      <c r="CL10" s="87"/>
      <c r="CM10" s="87"/>
      <c r="CN10" s="87"/>
      <c r="CO10" s="87"/>
      <c r="CP10" s="87"/>
      <c r="CQ10" s="87"/>
      <c r="CR10" s="87"/>
      <c r="CS10" s="87"/>
      <c r="CT10" s="87"/>
      <c r="CU10" s="87"/>
      <c r="CV10" s="87"/>
      <c r="CW10" s="87"/>
      <c r="CX10" s="87"/>
      <c r="CY10" s="87"/>
      <c r="CZ10" s="87"/>
      <c r="DA10" s="87"/>
      <c r="DB10" s="87"/>
      <c r="DC10" s="87"/>
      <c r="DD10" s="87"/>
      <c r="DE10" s="87"/>
      <c r="DF10" s="87"/>
      <c r="DG10" s="87"/>
      <c r="DH10" s="87"/>
      <c r="DI10" s="87"/>
      <c r="DJ10" s="87"/>
      <c r="DK10" s="87"/>
      <c r="DL10" s="87"/>
      <c r="DM10" s="87"/>
      <c r="DN10" s="87"/>
      <c r="DO10" s="87"/>
      <c r="DP10" s="87"/>
      <c r="DQ10" s="87"/>
    </row>
    <row r="11" spans="1:121" ht="15" customHeight="1" x14ac:dyDescent="0.25">
      <c r="A11" s="59">
        <f>Input!A11</f>
        <v>10073</v>
      </c>
      <c r="B11" s="59" t="str">
        <f>Input!B11</f>
        <v>Hu1-13</v>
      </c>
      <c r="C11" s="59">
        <f>Input!O11</f>
        <v>2.064133700823215</v>
      </c>
      <c r="D11" s="59">
        <f>C11*Input!P11/100</f>
        <v>1.9902454053978044E-2</v>
      </c>
      <c r="E11" s="60">
        <f>Input!M11</f>
        <v>2.7190779543453574</v>
      </c>
      <c r="F11" s="61">
        <f>E11*Input!N11/100</f>
        <v>3.831071448549124E-4</v>
      </c>
      <c r="G11" s="62">
        <f t="shared" si="19"/>
        <v>374.90646834513785</v>
      </c>
      <c r="H11" s="61">
        <f>G11*Input!L11/100</f>
        <v>2.7114080703288378E-2</v>
      </c>
      <c r="I11" s="59">
        <v>0</v>
      </c>
      <c r="J11" s="63">
        <f>(((C11*Constants!$B$26*0.000000001*Input!G11*(Constants!$B$4/Constants!$B$3))-(I11*0.000000000000001))/Input!F11)*1000000000000</f>
        <v>748.80826761929598</v>
      </c>
      <c r="K11" s="59">
        <f>J11*Input!P11/100</f>
        <v>7.220037217350936</v>
      </c>
      <c r="L11" s="64">
        <f>(J11/Constants!$B$4)*602200000000*Constants!$B$17/(365.2425*24*60)</f>
        <v>10.338129547416001</v>
      </c>
      <c r="M11" s="65">
        <f>L11*Input!P11/100</f>
        <v>9.9680630299995202E-2</v>
      </c>
      <c r="N11" s="59">
        <v>0</v>
      </c>
      <c r="O11" s="63">
        <f>(((G11*Constants!$B$23*0.000000001*Input!G11*(Constants!$B$7/Constants!$B$6))-(N11*0.000000001))/Input!F11)*1000000</f>
        <v>13.70052597261234</v>
      </c>
      <c r="P11" s="59">
        <f>O11*Input!N11/100</f>
        <v>1.930348992014013E-3</v>
      </c>
      <c r="Q11" s="66">
        <f>(O11/Constants!$B$7)*602200000000000000*Constants!$B$18/(365.2425*24*60)</f>
        <v>10.222246830074985</v>
      </c>
      <c r="R11" s="67">
        <f>Q11*Input!N11/100</f>
        <v>1.4402734540264663E-3</v>
      </c>
      <c r="S11" s="65">
        <f>Input!S11*Constants!$B$17/Constants!$B$18</f>
        <v>0.99898617918934463</v>
      </c>
      <c r="T11" s="59">
        <f>S11*Input!T11/100</f>
        <v>2.2942572326478446E-3</v>
      </c>
      <c r="U11" s="65">
        <f>S11</f>
        <v>0.99898617918934463</v>
      </c>
      <c r="V11" s="59">
        <f>U11*Input!T11/100</f>
        <v>2.2942572326478446E-3</v>
      </c>
      <c r="W11" s="68">
        <v>0</v>
      </c>
      <c r="X11" s="63">
        <f>(((Constants!$B$29*0.000000001*Input!G11/Input!W11*(Constants!$B$11/Constants!$B$9))-(W11*0.000000001))/Input!F11)*1000000000</f>
        <v>0.91062580478323762</v>
      </c>
      <c r="Y11" s="63">
        <f>X11*Input!X11/100</f>
        <v>6.3694071022994316E-3</v>
      </c>
      <c r="Z11" s="63">
        <f>(X11/Constants!$B$11)*6.022E+23*0.000000001*Constants!$B$19/(365.2425*24*60)</f>
        <v>2.2231319832406352E-4</v>
      </c>
      <c r="AA11" s="63">
        <f>Z11*Input!X11/100</f>
        <v>1.5549781885186671E-6</v>
      </c>
      <c r="AB11" s="64">
        <v>0</v>
      </c>
      <c r="AC11" s="64">
        <v>0.9</v>
      </c>
      <c r="AD11" s="63">
        <f>(((Input!G11*Constants!$B$29*0.000000001*Input!U11*(Constants!$B$10/Constants!$B$9))-((AB11*0.000000000000001)+(Input!G11*AC11*0.000000000000001)))/Input!F11)*1000000000000</f>
        <v>224.10142151942236</v>
      </c>
      <c r="AE11" s="63">
        <f>AD11*Input!V11/100</f>
        <v>0.58501231580143032</v>
      </c>
      <c r="AF11" s="63">
        <f>(AD11/Constants!$B$10)*602200000000*Constants!$B$16/(365.2425*24*60)</f>
        <v>10.229259189071314</v>
      </c>
      <c r="AG11" s="63">
        <f>AF11*Input!V11/100</f>
        <v>2.6703278214649923E-2</v>
      </c>
      <c r="AH11" s="59">
        <f t="shared" si="20"/>
        <v>46012.829045625236</v>
      </c>
      <c r="AI11" s="68">
        <f t="shared" si="21"/>
        <v>343.52259018351549</v>
      </c>
      <c r="AJ11" s="65">
        <f t="shared" si="0"/>
        <v>-1.0138208106553748</v>
      </c>
      <c r="AK11" s="68">
        <f t="shared" si="22"/>
        <v>2.2942572326478445</v>
      </c>
      <c r="AL11" s="68">
        <f t="shared" si="23"/>
        <v>1.0006859899895684</v>
      </c>
      <c r="AM11" s="68">
        <f t="shared" si="24"/>
        <v>2.6160730731130074E-3</v>
      </c>
      <c r="AN11" s="59">
        <f>AF11/Q11</f>
        <v>1.0006859899895684</v>
      </c>
      <c r="AO11" s="63">
        <f t="shared" si="25"/>
        <v>2.6160730731130074E-3</v>
      </c>
      <c r="AP11" s="59" t="str">
        <f t="shared" si="1"/>
        <v>Out of range</v>
      </c>
      <c r="AQ11" s="59" t="e">
        <f t="shared" si="2"/>
        <v>#VALUE!</v>
      </c>
      <c r="AR11" s="59" t="e">
        <f>(AQ11/AP11)*100</f>
        <v>#VALUE!</v>
      </c>
      <c r="AS11" s="67">
        <f>Z11/Q11</f>
        <v>2.1747977917143754E-5</v>
      </c>
      <c r="AT11" s="67">
        <f>AS11*SQRT((Y11/X11)^2+(P11/O11)^2)</f>
        <v>1.5214792437528314E-7</v>
      </c>
      <c r="AU11" s="59">
        <v>0.75</v>
      </c>
      <c r="AV11" s="59">
        <f t="shared" si="26"/>
        <v>0.375</v>
      </c>
      <c r="AW11" s="69">
        <f t="shared" si="3"/>
        <v>0.99898616265266049</v>
      </c>
      <c r="AX11" s="69">
        <f t="shared" si="4"/>
        <v>2.2943236220985316E-3</v>
      </c>
      <c r="AY11" s="148">
        <f t="shared" si="5"/>
        <v>2.2966520537244413E-3</v>
      </c>
      <c r="AZ11" s="69">
        <f t="shared" si="6"/>
        <v>1.0006860011789223</v>
      </c>
      <c r="BA11" s="69">
        <f t="shared" si="7"/>
        <v>2.616141191636414E-3</v>
      </c>
      <c r="BB11" s="148">
        <f t="shared" si="8"/>
        <v>2.6143477460005447E-3</v>
      </c>
      <c r="BC11" s="59" t="str">
        <f t="shared" si="9"/>
        <v>Out of range</v>
      </c>
      <c r="BD11" s="59" t="e">
        <f t="shared" si="10"/>
        <v>#VALUE!</v>
      </c>
      <c r="BE11" s="148" t="e">
        <f t="shared" si="11"/>
        <v>#VALUE!</v>
      </c>
      <c r="BF11" s="59"/>
      <c r="BG11" s="59"/>
      <c r="BH11" s="59" t="str">
        <f t="shared" si="12"/>
        <v>Out of range</v>
      </c>
      <c r="BI11" s="69">
        <f t="shared" si="13"/>
        <v>321.52655877270001</v>
      </c>
      <c r="BJ11" s="69" t="e">
        <f t="shared" si="14"/>
        <v>#VALUE!</v>
      </c>
      <c r="BK11" s="148" t="e">
        <f>BJ11/BH11</f>
        <v>#VALUE!</v>
      </c>
      <c r="BL11" s="59" t="str">
        <f>Input!B11</f>
        <v>Hu1-13</v>
      </c>
      <c r="BM11" s="70">
        <f>Input!E11</f>
        <v>0</v>
      </c>
      <c r="BN11" s="59" t="e">
        <f>((U11-1)*EXP(Constants!$B$17*BH11*1000))*1000</f>
        <v>#VALUE!</v>
      </c>
      <c r="BO11" s="65" t="e">
        <f t="shared" si="15"/>
        <v>#VALUE!</v>
      </c>
      <c r="BP11" s="59" t="e">
        <f t="shared" si="16"/>
        <v>#VALUE!</v>
      </c>
      <c r="BQ11" s="71" t="e">
        <f t="shared" si="17"/>
        <v>#VALUE!</v>
      </c>
      <c r="BR11" s="72" t="e">
        <f t="shared" si="18"/>
        <v>#VALUE!</v>
      </c>
      <c r="BS11" s="73"/>
      <c r="BT11" s="87"/>
      <c r="BU11" s="87"/>
      <c r="BV11" s="87"/>
      <c r="BW11" s="87"/>
      <c r="BX11" s="87"/>
      <c r="BY11" s="88"/>
      <c r="BZ11" s="87"/>
      <c r="CA11" s="87"/>
      <c r="CB11" s="87"/>
      <c r="CC11" s="87"/>
      <c r="CD11" s="87"/>
      <c r="CE11" s="87"/>
      <c r="CF11" s="87"/>
      <c r="CG11" s="87"/>
      <c r="CH11" s="87"/>
      <c r="CI11" s="87"/>
      <c r="CJ11" s="87"/>
      <c r="CK11" s="87"/>
      <c r="CL11" s="87"/>
      <c r="CM11" s="87"/>
      <c r="CN11" s="87"/>
      <c r="CO11" s="87"/>
      <c r="CP11" s="87"/>
      <c r="CQ11" s="87"/>
      <c r="CR11" s="87"/>
      <c r="CS11" s="87"/>
      <c r="CT11" s="87"/>
      <c r="CU11" s="87"/>
      <c r="CV11" s="87"/>
      <c r="CW11" s="87"/>
      <c r="CX11" s="87"/>
      <c r="CY11" s="87"/>
      <c r="CZ11" s="87"/>
      <c r="DA11" s="87"/>
      <c r="DB11" s="87"/>
      <c r="DC11" s="87"/>
      <c r="DD11" s="87"/>
      <c r="DE11" s="87"/>
      <c r="DF11" s="87"/>
      <c r="DG11" s="87"/>
      <c r="DH11" s="87"/>
      <c r="DI11" s="87"/>
      <c r="DJ11" s="87"/>
      <c r="DK11" s="87"/>
      <c r="DL11" s="87"/>
      <c r="DM11" s="87"/>
      <c r="DN11" s="87"/>
      <c r="DO11" s="87"/>
      <c r="DP11" s="87"/>
      <c r="DQ11" s="87"/>
    </row>
    <row r="12" spans="1:121" ht="15" customHeight="1" x14ac:dyDescent="0.25">
      <c r="A12" s="58">
        <f>Input!A12</f>
        <v>10178</v>
      </c>
      <c r="B12" s="58" t="str">
        <f>Input!B12</f>
        <v>LA-10-02 bottom</v>
      </c>
      <c r="C12" s="58">
        <f>Input!O12</f>
        <v>0.40520132007475346</v>
      </c>
      <c r="D12" s="58">
        <f>C12*Input!P12/100</f>
        <v>1.9435018888342354E-3</v>
      </c>
      <c r="E12" s="77">
        <f>Input!M12</f>
        <v>0.47591194824226496</v>
      </c>
      <c r="F12" s="78">
        <f>E12*Input!N12/100</f>
        <v>4.145469101721399E-5</v>
      </c>
      <c r="G12" s="79">
        <f t="shared" si="19"/>
        <v>65.61873942364349</v>
      </c>
      <c r="H12" s="78">
        <f>G12*Input!L12/100</f>
        <v>6.97213345527625E-3</v>
      </c>
      <c r="I12" s="58">
        <v>0.3</v>
      </c>
      <c r="J12" s="80">
        <f>(((C12*Constants!$B$26*0.000000001*Input!G12*(Constants!$B$4/Constants!$B$3))-(I12*0.000000000000001))/Input!F12)*1000000000000</f>
        <v>10.107779576465877</v>
      </c>
      <c r="K12" s="58">
        <f>J12*Input!P12/100</f>
        <v>4.8480811205544511E-2</v>
      </c>
      <c r="L12" s="81">
        <f>(J12/Constants!$B$4)*602200000000*Constants!$B$17/(365.2425*24*60)</f>
        <v>0.13954911987077148</v>
      </c>
      <c r="M12" s="74">
        <f>L12*Input!P12/100</f>
        <v>6.6933142765666378E-4</v>
      </c>
      <c r="N12" s="58">
        <v>5.0000000000000001E-3</v>
      </c>
      <c r="O12" s="80">
        <f>(((G12*Constants!$B$23*0.000000001*Input!G12*(Constants!$B$7/Constants!$B$6))-(N12*0.000000001))/Input!F12)*1000000</f>
        <v>0.16488929411477277</v>
      </c>
      <c r="P12" s="58">
        <f>O12*Input!N12/100</f>
        <v>1.4362813887779972E-5</v>
      </c>
      <c r="Q12" s="82">
        <f>(O12/Constants!$B$7)*602200000000000000*Constants!$B$18/(365.2425*24*60)</f>
        <v>0.12302732518791383</v>
      </c>
      <c r="R12" s="75">
        <f>Q12*Input!N12/100</f>
        <v>1.0716393591663031E-5</v>
      </c>
      <c r="S12" s="74">
        <f>Input!S12*Constants!$B$17/Constants!$B$18</f>
        <v>1.1350609844822572</v>
      </c>
      <c r="T12" s="58">
        <f>S12*Input!T12/100</f>
        <v>3.2118554782542968E-3</v>
      </c>
      <c r="U12" s="58">
        <f>S12*1/((U11+U13)/2)</f>
        <v>1.1346592971520939</v>
      </c>
      <c r="V12" s="58">
        <f>U12*Input!T12/100</f>
        <v>3.2107188330259186E-3</v>
      </c>
      <c r="W12" s="83">
        <v>3.0000000000000001E-3</v>
      </c>
      <c r="X12" s="80">
        <f>IF((((Constants!$B$29*0.000000001*Input!G12/Input!W12*(Constants!$B$11/Constants!$B$9))-(W12*0.000000001))/Input!F12)*1000000000&lt;0, "n.d.", (((Constants!$B$29*0.000000001*Input!G12/Input!W12*(Constants!$B$11/Constants!$B$9))-(W12*0.000000001))/Input!F12)*1000000000)</f>
        <v>5.7263936235219894</v>
      </c>
      <c r="Y12" s="80">
        <f>X12*Input!X12/100</f>
        <v>9.5801651379062054E-3</v>
      </c>
      <c r="Z12" s="80">
        <f>(X12/Constants!$B$11)*6.022E+23*0.000000001*Constants!$B$19/(365.2425*24*60)</f>
        <v>1.3979978105394567E-3</v>
      </c>
      <c r="AA12" s="80">
        <f>Z12*Input!X12/100</f>
        <v>2.338828024742382E-6</v>
      </c>
      <c r="AB12" s="81">
        <v>0.05</v>
      </c>
      <c r="AC12" s="81">
        <v>0.9</v>
      </c>
      <c r="AD12" s="80">
        <f>(((Input!G12*Constants!$B$29*0.000000001*Input!U12*(Constants!$B$10/Constants!$B$9))-((AB12*0.000000000000001)+(Input!G12*AC12*0.000000000000001)))/Input!F12)*1000000000000</f>
        <v>2.7607216918516313</v>
      </c>
      <c r="AE12" s="80">
        <f>AD12*Input!V12/100</f>
        <v>4.9994250916063293E-3</v>
      </c>
      <c r="AF12" s="80">
        <f>(AD12/Constants!$B$10)*602200000000*Constants!$B$16/(365.2425*24*60)</f>
        <v>0.1260149870686755</v>
      </c>
      <c r="AG12" s="80">
        <f>AF12*Input!V12/100</f>
        <v>2.282021002439537E-4</v>
      </c>
      <c r="AH12" s="58">
        <f t="shared" si="20"/>
        <v>90.139616899721091</v>
      </c>
      <c r="AI12" s="83">
        <f t="shared" si="21"/>
        <v>0.22223171215004472</v>
      </c>
      <c r="AJ12" s="74">
        <f t="shared" si="0"/>
        <v>134.6592971520939</v>
      </c>
      <c r="AK12" s="83">
        <f t="shared" si="22"/>
        <v>3.2107188330259184</v>
      </c>
      <c r="AL12" s="83">
        <f t="shared" si="23"/>
        <v>1.0242845390338957</v>
      </c>
      <c r="AM12" s="83">
        <f t="shared" si="24"/>
        <v>1.8570341040028465E-3</v>
      </c>
      <c r="AN12" s="58">
        <f>AL12*1/((AN11+AN13)/2)</f>
        <v>1.0251086913614651</v>
      </c>
      <c r="AO12" s="80">
        <f t="shared" si="25"/>
        <v>1.8585282971892761E-3</v>
      </c>
      <c r="AP12" s="58">
        <f t="shared" si="1"/>
        <v>227.93950000000001</v>
      </c>
      <c r="AQ12" s="58">
        <f t="shared" si="2"/>
        <v>2.7724000000000002</v>
      </c>
      <c r="AR12" s="144">
        <f>(AQ12/AP12)</f>
        <v>1.2162876552769486E-2</v>
      </c>
      <c r="AS12" s="75">
        <f>IF(X12="n.d.", "n.d.", Z12/Q12)</f>
        <v>1.1363311430238228E-2</v>
      </c>
      <c r="AT12" s="75">
        <f>IF(X12="n.d.", "n.d.", AS12*SQRT((Y12/X12)^2+(P12/O12)^2))</f>
        <v>1.9036389018058786E-5</v>
      </c>
      <c r="AU12" s="58">
        <v>20.28</v>
      </c>
      <c r="AV12" s="58">
        <v>8.27</v>
      </c>
      <c r="AW12" s="76">
        <f t="shared" si="3"/>
        <v>1.1749840029247098</v>
      </c>
      <c r="AX12" s="76">
        <f t="shared" si="4"/>
        <v>0.18846234995267408</v>
      </c>
      <c r="AY12" s="144">
        <f t="shared" si="5"/>
        <v>0.16039567303347388</v>
      </c>
      <c r="AZ12" s="76">
        <f t="shared" si="6"/>
        <v>1.0326276715796889</v>
      </c>
      <c r="BA12" s="76">
        <f t="shared" si="7"/>
        <v>0.17555611679875122</v>
      </c>
      <c r="BB12" s="144">
        <f t="shared" si="8"/>
        <v>0.1700091152217427</v>
      </c>
      <c r="BC12" s="58">
        <f t="shared" si="9"/>
        <v>205.68</v>
      </c>
      <c r="BD12" s="58" t="e">
        <f t="shared" si="10"/>
        <v>#VALUE!</v>
      </c>
      <c r="BE12" s="144" t="e">
        <f t="shared" si="11"/>
        <v>#VALUE!</v>
      </c>
      <c r="BF12" s="144"/>
      <c r="BG12" s="144"/>
      <c r="BH12" s="58">
        <f t="shared" si="12"/>
        <v>205.68</v>
      </c>
      <c r="BI12" s="76">
        <f t="shared" si="13"/>
        <v>10.599217424000001</v>
      </c>
      <c r="BJ12" s="76">
        <f t="shared" si="14"/>
        <v>10.52047205115027</v>
      </c>
      <c r="BK12" s="144">
        <f>BJ12/BH12</f>
        <v>5.1149708533402706E-2</v>
      </c>
      <c r="BL12" s="58" t="str">
        <f>Input!B12</f>
        <v>LA-10-02 bottom</v>
      </c>
      <c r="BM12" s="84">
        <f>Input!E12</f>
        <v>0</v>
      </c>
      <c r="BN12" s="58">
        <f>((U12-1)*EXP(Constants!$B$17*BH12*1000))*1000</f>
        <v>240.61283898397193</v>
      </c>
      <c r="BO12" s="74">
        <f t="shared" si="15"/>
        <v>9.1785172701650417</v>
      </c>
      <c r="BP12" s="58">
        <f t="shared" si="16"/>
        <v>205622</v>
      </c>
      <c r="BQ12" s="85">
        <f t="shared" si="17"/>
        <v>5260.2360255751346</v>
      </c>
      <c r="BR12" s="86">
        <f t="shared" si="18"/>
        <v>5.1149708533402709</v>
      </c>
      <c r="BS12" s="87"/>
      <c r="BT12" s="87"/>
      <c r="BU12" s="87"/>
      <c r="BV12" s="87"/>
      <c r="BW12" s="87"/>
      <c r="BX12" s="87"/>
      <c r="BY12" s="88"/>
      <c r="BZ12" s="87"/>
      <c r="CA12" s="87"/>
      <c r="CB12" s="87"/>
      <c r="CC12" s="87"/>
      <c r="CD12" s="87"/>
      <c r="CE12" s="87"/>
      <c r="CF12" s="87"/>
      <c r="CG12" s="87"/>
      <c r="CH12" s="87"/>
      <c r="CI12" s="87"/>
      <c r="CJ12" s="87"/>
      <c r="CK12" s="87"/>
      <c r="CL12" s="87"/>
      <c r="CM12" s="87"/>
      <c r="CN12" s="87"/>
      <c r="CO12" s="87"/>
      <c r="CP12" s="87"/>
      <c r="CQ12" s="87"/>
      <c r="CR12" s="87"/>
      <c r="CS12" s="87"/>
      <c r="CT12" s="87"/>
      <c r="CU12" s="87"/>
      <c r="CV12" s="87"/>
      <c r="CW12" s="87"/>
      <c r="CX12" s="87"/>
      <c r="CY12" s="87"/>
      <c r="CZ12" s="87"/>
      <c r="DA12" s="87"/>
      <c r="DB12" s="87"/>
      <c r="DC12" s="87"/>
      <c r="DD12" s="87"/>
      <c r="DE12" s="87"/>
      <c r="DF12" s="87"/>
      <c r="DG12" s="87"/>
      <c r="DH12" s="87"/>
      <c r="DI12" s="87"/>
      <c r="DJ12" s="87"/>
      <c r="DK12" s="87"/>
      <c r="DL12" s="87"/>
      <c r="DM12" s="87"/>
      <c r="DN12" s="87"/>
      <c r="DO12" s="87"/>
      <c r="DP12" s="87"/>
      <c r="DQ12" s="87"/>
    </row>
    <row r="13" spans="1:121" ht="15" customHeight="1" x14ac:dyDescent="0.25">
      <c r="A13" s="59">
        <f>Input!A13</f>
        <v>10073</v>
      </c>
      <c r="B13" s="59" t="str">
        <f>Input!B13</f>
        <v>Hu1-13</v>
      </c>
      <c r="C13" s="59">
        <f>Input!O13</f>
        <v>2.0967695686827805</v>
      </c>
      <c r="D13" s="59">
        <f>C13*Input!P13/100</f>
        <v>2.6475543895825241E-2</v>
      </c>
      <c r="E13" s="60">
        <f>Input!M13</f>
        <v>2.7195819564194865</v>
      </c>
      <c r="F13" s="61">
        <f>E13*Input!N13/100</f>
        <v>4.0081193559565471E-4</v>
      </c>
      <c r="G13" s="62">
        <f t="shared" si="19"/>
        <v>374.97596015111878</v>
      </c>
      <c r="H13" s="61">
        <f>G13*Input!L13/100</f>
        <v>2.7062538521224574E-2</v>
      </c>
      <c r="I13" s="59">
        <v>0</v>
      </c>
      <c r="J13" s="63">
        <f>(((C13*Constants!$B$26*0.000000001*Input!G13*(Constants!$B$4/Constants!$B$3))-(I13*0.000000000000001))/Input!F13)*1000000000000</f>
        <v>760.64762069241669</v>
      </c>
      <c r="K13" s="59">
        <f>J13*Input!P13/100</f>
        <v>9.6045649324968156</v>
      </c>
      <c r="L13" s="64">
        <f>(J13/Constants!$B$4)*602200000000*Constants!$B$17/(365.2425*24*60)</f>
        <v>10.501584961999841</v>
      </c>
      <c r="M13" s="65">
        <f>L13*Input!P13/100</f>
        <v>0.13260168298409183</v>
      </c>
      <c r="N13" s="59">
        <v>0</v>
      </c>
      <c r="O13" s="63">
        <f>(((G13*Constants!$B$23*0.000000001*Input!G13*(Constants!$B$7/Constants!$B$6))-(N13*0.000000001))/Input!F13)*1000000</f>
        <v>13.70306547078885</v>
      </c>
      <c r="P13" s="59">
        <f>O13*Input!N13/100</f>
        <v>2.0195575213228407E-3</v>
      </c>
      <c r="Q13" s="66">
        <f>(O13/Constants!$B$7)*602200000000000000*Constants!$B$18/(365.2425*24*60)</f>
        <v>10.224141602380566</v>
      </c>
      <c r="R13" s="67">
        <f>Q13*Input!N13/100</f>
        <v>1.5068337895760464E-3</v>
      </c>
      <c r="S13" s="65">
        <f>Input!S13*Constants!$B$17/Constants!$B$18</f>
        <v>1.0017218524306695</v>
      </c>
      <c r="T13" s="59">
        <f>S13*Input!T13/100</f>
        <v>2.426683928745971E-3</v>
      </c>
      <c r="U13" s="65">
        <f>S13</f>
        <v>1.0017218524306695</v>
      </c>
      <c r="V13" s="59">
        <f>U13*Input!T13/100</f>
        <v>2.426683928745971E-3</v>
      </c>
      <c r="W13" s="68">
        <v>0</v>
      </c>
      <c r="X13" s="63">
        <f>(((Constants!$B$29*0.000000001*Input!G13/Input!W13*(Constants!$B$11/Constants!$B$9))-(W13*0.000000001))/Input!F13)*1000000000</f>
        <v>0.91079864649415498</v>
      </c>
      <c r="Y13" s="63">
        <f>X13*Input!X13/100</f>
        <v>3.8875179769722766E-3</v>
      </c>
      <c r="Z13" s="63">
        <f>(X13/Constants!$B$11)*6.022E+23*0.000000001*Constants!$B$19/(365.2425*24*60)</f>
        <v>2.2235539457345158E-4</v>
      </c>
      <c r="AA13" s="63">
        <f>Z13*Input!X13/100</f>
        <v>9.4906881670097462E-7</v>
      </c>
      <c r="AB13" s="64">
        <v>0</v>
      </c>
      <c r="AC13" s="64">
        <v>0.9</v>
      </c>
      <c r="AD13" s="63">
        <f>(((Input!G13*Constants!$B$29*0.000000001*Input!U13*(Constants!$B$10/Constants!$B$9))-((AB13*0.000000000000001)+(Input!G13*AC13*0.000000000000001)))/Input!F13)*1000000000000</f>
        <v>223.47549212070467</v>
      </c>
      <c r="AE13" s="63">
        <f>AD13*Input!V13/100</f>
        <v>0.58220195107650163</v>
      </c>
      <c r="AF13" s="63">
        <f>(AD13/Constants!$B$10)*602200000000*Constants!$B$16/(365.2425*24*60)</f>
        <v>10.200688223255339</v>
      </c>
      <c r="AG13" s="63">
        <f>AF13*Input!V13/100</f>
        <v>2.6574997238151848E-2</v>
      </c>
      <c r="AH13" s="59">
        <f t="shared" si="20"/>
        <v>45875.604874905352</v>
      </c>
      <c r="AI13" s="68">
        <f t="shared" si="21"/>
        <v>229.40153220401365</v>
      </c>
      <c r="AJ13" s="65">
        <f t="shared" si="0"/>
        <v>1.7218524306694682</v>
      </c>
      <c r="AK13" s="68">
        <f t="shared" si="22"/>
        <v>2.4266839287459709</v>
      </c>
      <c r="AL13" s="68">
        <f t="shared" si="23"/>
        <v>0.99770607841349079</v>
      </c>
      <c r="AM13" s="68">
        <f t="shared" si="24"/>
        <v>2.603395783112659E-3</v>
      </c>
      <c r="AN13" s="59">
        <f>AF13/Q13</f>
        <v>0.99770607841349079</v>
      </c>
      <c r="AO13" s="63">
        <f t="shared" si="25"/>
        <v>2.603395783112659E-3</v>
      </c>
      <c r="AP13" s="59">
        <f t="shared" si="1"/>
        <v>584.03629999999998</v>
      </c>
      <c r="AQ13" s="59" t="e">
        <f t="shared" si="2"/>
        <v>#VALUE!</v>
      </c>
      <c r="AR13" s="59" t="e">
        <f>(AQ13/AP13)*100</f>
        <v>#VALUE!</v>
      </c>
      <c r="AS13" s="67">
        <f>Z13/Q13</f>
        <v>2.1748074627769126E-5</v>
      </c>
      <c r="AT13" s="67">
        <f>AS13*SQRT((Y13/X13)^2+(P13/O13)^2)</f>
        <v>9.2881579817147023E-8</v>
      </c>
      <c r="AU13" s="59">
        <v>0.75</v>
      </c>
      <c r="AV13" s="59">
        <f t="shared" si="26"/>
        <v>0.375</v>
      </c>
      <c r="AW13" s="69">
        <f t="shared" si="3"/>
        <v>1.001721880516359</v>
      </c>
      <c r="AX13" s="69">
        <f t="shared" si="4"/>
        <v>2.4267509695587147E-3</v>
      </c>
      <c r="AY13" s="148">
        <f t="shared" si="5"/>
        <v>2.4225795769857736E-3</v>
      </c>
      <c r="AZ13" s="69">
        <f t="shared" si="6"/>
        <v>0.9977060409965971</v>
      </c>
      <c r="BA13" s="69">
        <f t="shared" si="7"/>
        <v>2.6034637399658749E-3</v>
      </c>
      <c r="BB13" s="148">
        <f t="shared" si="8"/>
        <v>2.6094497106234869E-3</v>
      </c>
      <c r="BC13" s="59">
        <f t="shared" si="9"/>
        <v>584.03629999999998</v>
      </c>
      <c r="BD13" s="59" t="e">
        <f t="shared" si="10"/>
        <v>#VALUE!</v>
      </c>
      <c r="BE13" s="148" t="e">
        <f t="shared" si="11"/>
        <v>#VALUE!</v>
      </c>
      <c r="BF13" s="59"/>
      <c r="BG13" s="59"/>
      <c r="BH13" s="59">
        <f t="shared" si="12"/>
        <v>584.03449999999998</v>
      </c>
      <c r="BI13" s="69">
        <f t="shared" si="13"/>
        <v>233.4787917445</v>
      </c>
      <c r="BJ13" s="69">
        <f t="shared" si="14"/>
        <v>97.869584981712705</v>
      </c>
      <c r="BK13" s="148">
        <f>BJ13/BH13</f>
        <v>0.16757500623972163</v>
      </c>
      <c r="BL13" s="59" t="str">
        <f>Input!B13</f>
        <v>Hu1-13</v>
      </c>
      <c r="BM13" s="70">
        <f>Input!E13</f>
        <v>0</v>
      </c>
      <c r="BN13" s="59">
        <f>((U13-1)*EXP(Constants!$B$17*BH13*1000))*1000</f>
        <v>8.9493518165122392</v>
      </c>
      <c r="BO13" s="65">
        <f t="shared" si="15"/>
        <v>12.885223404350009</v>
      </c>
      <c r="BP13" s="59">
        <f t="shared" si="16"/>
        <v>583976.5</v>
      </c>
      <c r="BQ13" s="71">
        <f t="shared" si="17"/>
        <v>48934.792490856351</v>
      </c>
      <c r="BR13" s="72">
        <f t="shared" si="18"/>
        <v>16.757500623972163</v>
      </c>
      <c r="BS13" s="73"/>
      <c r="BT13" s="87"/>
      <c r="BU13" s="87"/>
      <c r="BV13" s="87"/>
      <c r="BW13" s="87"/>
      <c r="BX13" s="87"/>
      <c r="BY13" s="88"/>
      <c r="BZ13" s="87"/>
      <c r="CA13" s="87"/>
      <c r="CB13" s="87"/>
      <c r="CC13" s="87"/>
      <c r="CD13" s="87"/>
      <c r="CE13" s="87"/>
      <c r="CF13" s="87"/>
      <c r="CG13" s="87"/>
      <c r="CH13" s="87"/>
      <c r="CI13" s="87"/>
      <c r="CJ13" s="87"/>
      <c r="CK13" s="87"/>
      <c r="CL13" s="87"/>
      <c r="CM13" s="87"/>
      <c r="CN13" s="87"/>
      <c r="CO13" s="87"/>
      <c r="CP13" s="87"/>
      <c r="CQ13" s="87"/>
      <c r="CR13" s="87"/>
      <c r="CS13" s="87"/>
      <c r="CT13" s="87"/>
      <c r="CU13" s="87"/>
      <c r="CV13" s="87"/>
      <c r="CW13" s="87"/>
      <c r="CX13" s="87"/>
      <c r="CY13" s="87"/>
      <c r="CZ13" s="87"/>
      <c r="DA13" s="87"/>
      <c r="DB13" s="87"/>
      <c r="DC13" s="87"/>
      <c r="DD13" s="87"/>
      <c r="DE13" s="87"/>
      <c r="DF13" s="87"/>
      <c r="DG13" s="87"/>
      <c r="DH13" s="87"/>
      <c r="DI13" s="87"/>
      <c r="DJ13" s="87"/>
      <c r="DK13" s="87"/>
      <c r="DL13" s="87"/>
      <c r="DM13" s="87"/>
      <c r="DN13" s="87"/>
      <c r="DO13" s="87"/>
      <c r="DP13" s="87"/>
      <c r="DQ13" s="87"/>
    </row>
    <row r="14" spans="1:121" ht="15" customHeight="1" x14ac:dyDescent="0.25">
      <c r="A14" s="58">
        <f>Input!A14</f>
        <v>10179</v>
      </c>
      <c r="B14" s="58" t="str">
        <f>Input!B14</f>
        <v>LA-10-02 top</v>
      </c>
      <c r="C14" s="58">
        <f>Input!O14</f>
        <v>1.2754043677685247</v>
      </c>
      <c r="D14" s="58">
        <f>C14*Input!P14/100</f>
        <v>4.5725091712482289E-3</v>
      </c>
      <c r="E14" s="77">
        <f>Input!M14</f>
        <v>1.1850061500948113</v>
      </c>
      <c r="F14" s="78">
        <f>E14*Input!N14/100</f>
        <v>9.9401837797157678E-5</v>
      </c>
      <c r="G14" s="79">
        <f t="shared" si="19"/>
        <v>163.38864797507256</v>
      </c>
      <c r="H14" s="78">
        <f>G14*Input!L14/100</f>
        <v>1.1019689858087491E-2</v>
      </c>
      <c r="I14" s="58">
        <v>0.3</v>
      </c>
      <c r="J14" s="80">
        <f>(((C14*Constants!$B$26*0.000000001*Input!G14*(Constants!$B$4/Constants!$B$3))-(I14*0.000000000000001))/Input!F14)*1000000000000</f>
        <v>25.939755671550145</v>
      </c>
      <c r="K14" s="58">
        <f>J14*Input!P14/100</f>
        <v>9.2997776787940245E-2</v>
      </c>
      <c r="L14" s="81">
        <f>(J14/Constants!$B$4)*602200000000*Constants!$B$17/(365.2425*24*60)</f>
        <v>0.35812712834140981</v>
      </c>
      <c r="M14" s="74">
        <f>L14*Input!P14/100</f>
        <v>1.283937565369141E-3</v>
      </c>
      <c r="N14" s="58">
        <v>5.0000000000000001E-3</v>
      </c>
      <c r="O14" s="80">
        <f>(((G14*Constants!$B$23*0.000000001*Input!G14*(Constants!$B$7/Constants!$B$6))-(N14*0.000000001))/Input!F14)*1000000</f>
        <v>0.33474438178289301</v>
      </c>
      <c r="P14" s="58">
        <f>O14*Input!N14/100</f>
        <v>2.8079353629372059E-5</v>
      </c>
      <c r="Q14" s="82">
        <f>(O14/Constants!$B$7)*602200000000000000*Constants!$B$18/(365.2425*24*60)</f>
        <v>0.24975973202823915</v>
      </c>
      <c r="R14" s="75">
        <f>Q14*Input!N14/100</f>
        <v>2.0950588627195093E-5</v>
      </c>
      <c r="S14" s="74">
        <f>Input!S14*Constants!$B$17/Constants!$B$18</f>
        <v>1.4362355581434758</v>
      </c>
      <c r="T14" s="58">
        <f>S14*Input!T14/100</f>
        <v>1.5745842133113573E-3</v>
      </c>
      <c r="U14" s="58">
        <f>S14*1/((U13+U15)/2)</f>
        <v>1.4349569162507612</v>
      </c>
      <c r="V14" s="58">
        <f>U14*Input!T14/100</f>
        <v>1.5731824033315587E-3</v>
      </c>
      <c r="W14" s="83">
        <v>3.0000000000000001E-3</v>
      </c>
      <c r="X14" s="80">
        <f>IF((((Constants!$B$29*0.000000001*Input!G14/Input!W14*(Constants!$B$11/Constants!$B$9))-(W14*0.000000001))/Input!F14)*1000000000&lt;0, "n.d.", (((Constants!$B$29*0.000000001*Input!G14/Input!W14*(Constants!$B$11/Constants!$B$9))-(W14*0.000000001))/Input!F14)*1000000000)</f>
        <v>1.6045858617793893</v>
      </c>
      <c r="Y14" s="80">
        <f>X14*Input!X14/100</f>
        <v>2.7404403033613411E-3</v>
      </c>
      <c r="Z14" s="80">
        <f>(X14/Constants!$B$11)*6.022E+23*0.000000001*Constants!$B$19/(365.2425*24*60)</f>
        <v>3.91731283084672E-4</v>
      </c>
      <c r="AA14" s="80">
        <f>Z14*Input!X14/100</f>
        <v>6.6903007300726236E-7</v>
      </c>
      <c r="AB14" s="81">
        <v>0.05</v>
      </c>
      <c r="AC14" s="81">
        <v>0.9</v>
      </c>
      <c r="AD14" s="80">
        <f>(((Input!G14*Constants!$B$29*0.000000001*Input!U14*(Constants!$B$10/Constants!$B$9))-((AB14*0.000000000000001)+(Input!G14*AC14*0.000000000000001)))/Input!F14)*1000000000000</f>
        <v>5.80132860968257</v>
      </c>
      <c r="AE14" s="80">
        <f>AD14*Input!V14/100</f>
        <v>1.6480564164392933E-2</v>
      </c>
      <c r="AF14" s="80">
        <f>(AD14/Constants!$B$10)*602200000000*Constants!$B$16/(365.2425*24*60)</f>
        <v>0.26480552237047988</v>
      </c>
      <c r="AG14" s="80">
        <f>AF14*Input!V14/100</f>
        <v>7.5226636795378389E-4</v>
      </c>
      <c r="AH14" s="58">
        <f t="shared" si="20"/>
        <v>675.98768289649888</v>
      </c>
      <c r="AI14" s="83">
        <f t="shared" si="21"/>
        <v>2.2406871782049111</v>
      </c>
      <c r="AJ14" s="74">
        <f t="shared" si="0"/>
        <v>434.95691625076114</v>
      </c>
      <c r="AK14" s="83">
        <f t="shared" si="22"/>
        <v>1.5731824033315587</v>
      </c>
      <c r="AL14" s="83">
        <f t="shared" si="23"/>
        <v>1.0602410573556331</v>
      </c>
      <c r="AM14" s="83">
        <f t="shared" si="24"/>
        <v>3.0132729350151244E-3</v>
      </c>
      <c r="AN14" s="58">
        <f>AL14*1/((AN13+AN15)/2)</f>
        <v>1.0636327305473041</v>
      </c>
      <c r="AO14" s="80">
        <f t="shared" si="25"/>
        <v>3.0229122872756078E-3</v>
      </c>
      <c r="AP14" s="58">
        <f t="shared" si="1"/>
        <v>133.1635</v>
      </c>
      <c r="AQ14" s="58">
        <f t="shared" si="2"/>
        <v>0.73909999999999998</v>
      </c>
      <c r="AR14" s="144">
        <f>(AQ14/AP14)</f>
        <v>5.5503197197430227E-3</v>
      </c>
      <c r="AS14" s="75">
        <f>IF(X14="n.d.", "n.d.", Z14/Q14)</f>
        <v>1.5684325087295529E-3</v>
      </c>
      <c r="AT14" s="75">
        <f>IF(X14="n.d.", "n.d.", AS14*SQRT((Y14/X14)^2+(P14/O14)^2))</f>
        <v>2.6819236830911748E-6</v>
      </c>
      <c r="AU14" s="58">
        <v>20.28</v>
      </c>
      <c r="AV14" s="58">
        <v>8.27</v>
      </c>
      <c r="AW14" s="76">
        <f t="shared" si="3"/>
        <v>1.4492464629615169</v>
      </c>
      <c r="AX14" s="76">
        <f t="shared" si="4"/>
        <v>2.3645274864577792E-2</v>
      </c>
      <c r="AY14" s="144">
        <f t="shared" si="5"/>
        <v>1.6315564998005218E-2</v>
      </c>
      <c r="AZ14" s="76">
        <f t="shared" si="6"/>
        <v>1.0657232430590409</v>
      </c>
      <c r="BA14" s="76">
        <f t="shared" si="7"/>
        <v>1.9826380848235469E-2</v>
      </c>
      <c r="BB14" s="144">
        <f t="shared" si="8"/>
        <v>1.8603686254722224E-2</v>
      </c>
      <c r="BC14" s="58">
        <f t="shared" si="9"/>
        <v>131.01650000000001</v>
      </c>
      <c r="BD14" s="58">
        <f t="shared" si="10"/>
        <v>6.0937999999999999</v>
      </c>
      <c r="BE14" s="144">
        <f t="shared" si="11"/>
        <v>4.6511698908152786E-2</v>
      </c>
      <c r="BF14" s="144"/>
      <c r="BG14" s="144"/>
      <c r="BH14" s="58">
        <f t="shared" si="12"/>
        <v>131.01650000000001</v>
      </c>
      <c r="BI14" s="76">
        <f t="shared" si="13"/>
        <v>1.1669443711</v>
      </c>
      <c r="BJ14" s="76">
        <f t="shared" si="14"/>
        <v>1.1578030349913115</v>
      </c>
      <c r="BK14" s="144">
        <f>BJ14/BH14</f>
        <v>8.8370780397225655E-3</v>
      </c>
      <c r="BL14" s="58" t="str">
        <f>Input!B14</f>
        <v>LA-10-02 top</v>
      </c>
      <c r="BM14" s="84">
        <f>Input!E14</f>
        <v>0</v>
      </c>
      <c r="BN14" s="58">
        <f>((U14-1)*EXP(Constants!$B$17*BH14*1000))*1000</f>
        <v>629.53623102592894</v>
      </c>
      <c r="BO14" s="74">
        <f t="shared" si="15"/>
        <v>3.0722483522828581</v>
      </c>
      <c r="BP14" s="58">
        <f t="shared" si="16"/>
        <v>130958.50000000001</v>
      </c>
      <c r="BQ14" s="85">
        <f t="shared" si="17"/>
        <v>578.90151749565575</v>
      </c>
      <c r="BR14" s="86">
        <f t="shared" si="18"/>
        <v>0.88370780397225657</v>
      </c>
      <c r="BS14" s="87"/>
      <c r="BT14" s="87"/>
      <c r="BU14" s="87"/>
      <c r="BV14" s="87"/>
      <c r="BW14" s="87"/>
      <c r="BX14" s="87"/>
      <c r="BY14" s="88"/>
      <c r="BZ14" s="87"/>
      <c r="CA14" s="87"/>
      <c r="CB14" s="87"/>
      <c r="CC14" s="87"/>
      <c r="CD14" s="87"/>
      <c r="CE14" s="87"/>
      <c r="CF14" s="87"/>
      <c r="CG14" s="87"/>
      <c r="CH14" s="87"/>
      <c r="CI14" s="87"/>
      <c r="CJ14" s="87"/>
      <c r="CK14" s="87"/>
      <c r="CL14" s="87"/>
      <c r="CM14" s="87"/>
      <c r="CN14" s="87"/>
      <c r="CO14" s="87"/>
      <c r="CP14" s="87"/>
      <c r="CQ14" s="87"/>
      <c r="CR14" s="87"/>
      <c r="CS14" s="87"/>
      <c r="CT14" s="87"/>
      <c r="CU14" s="87"/>
      <c r="CV14" s="87"/>
      <c r="CW14" s="87"/>
      <c r="CX14" s="87"/>
      <c r="CY14" s="87"/>
      <c r="CZ14" s="87"/>
      <c r="DA14" s="87"/>
      <c r="DB14" s="87"/>
      <c r="DC14" s="87"/>
      <c r="DD14" s="87"/>
      <c r="DE14" s="87"/>
      <c r="DF14" s="87"/>
      <c r="DG14" s="87"/>
      <c r="DH14" s="87"/>
      <c r="DI14" s="87"/>
      <c r="DJ14" s="87"/>
      <c r="DK14" s="87"/>
      <c r="DL14" s="87"/>
      <c r="DM14" s="87"/>
      <c r="DN14" s="87"/>
      <c r="DO14" s="87"/>
      <c r="DP14" s="87"/>
      <c r="DQ14" s="87"/>
    </row>
    <row r="15" spans="1:121" ht="15" customHeight="1" x14ac:dyDescent="0.25">
      <c r="A15" s="59">
        <f>Input!A15</f>
        <v>10073</v>
      </c>
      <c r="B15" s="59" t="str">
        <f>Input!B15</f>
        <v>Hu1-13</v>
      </c>
      <c r="C15" s="59">
        <f>Input!O15</f>
        <v>2.0466628258556745</v>
      </c>
      <c r="D15" s="59">
        <f>C15*Input!P15/100</f>
        <v>2.0626820666433864E-2</v>
      </c>
      <c r="E15" s="60">
        <f>Input!M15</f>
        <v>2.7193648281461917</v>
      </c>
      <c r="F15" s="61">
        <f>E15*Input!N15/100</f>
        <v>4.6014239728965378E-4</v>
      </c>
      <c r="G15" s="62">
        <f t="shared" si="19"/>
        <v>374.94602250479693</v>
      </c>
      <c r="H15" s="61">
        <f>G15*Input!L15/100</f>
        <v>3.2893092348064243E-2</v>
      </c>
      <c r="I15" s="59">
        <v>0</v>
      </c>
      <c r="J15" s="63">
        <f>(((C15*Constants!$B$26*0.000000001*Input!G15*(Constants!$B$4/Constants!$B$3))-(I15*0.000000000000001))/Input!F15)*1000000000000</f>
        <v>742.47033727446421</v>
      </c>
      <c r="K15" s="59">
        <f>J15*Input!P15/100</f>
        <v>7.482816565402846</v>
      </c>
      <c r="L15" s="64">
        <f>(J15/Constants!$B$4)*602200000000*Constants!$B$17/(365.2425*24*60)</f>
        <v>10.250627381907483</v>
      </c>
      <c r="M15" s="65">
        <f>L15*Input!P15/100</f>
        <v>0.10330859096766153</v>
      </c>
      <c r="N15" s="59">
        <v>0</v>
      </c>
      <c r="O15" s="63">
        <f>(((G15*Constants!$B$23*0.000000001*Input!G15*(Constants!$B$7/Constants!$B$6))-(N15*0.000000001))/Input!F15)*1000000</f>
        <v>13.701971433913995</v>
      </c>
      <c r="P15" s="59">
        <f>O15*Input!N15/100</f>
        <v>2.3185039086842949E-3</v>
      </c>
      <c r="Q15" s="66">
        <f>(O15/Constants!$B$7)*602200000000000000*Constants!$B$18/(365.2425*24*60)</f>
        <v>10.223325318757711</v>
      </c>
      <c r="R15" s="67">
        <f>Q15*Input!N15/100</f>
        <v>1.7298838948549835E-3</v>
      </c>
      <c r="S15" s="65">
        <f>Input!S15*Constants!$B$17/Constants!$B$18</f>
        <v>1.0000602803682099</v>
      </c>
      <c r="T15" s="59">
        <f>S15*Input!T15/100</f>
        <v>1.5564890281767243E-3</v>
      </c>
      <c r="U15" s="65">
        <f>S15</f>
        <v>1.0000602803682099</v>
      </c>
      <c r="V15" s="59">
        <f>U15*Input!T15/100</f>
        <v>1.5564890281767243E-3</v>
      </c>
      <c r="W15" s="68">
        <v>0</v>
      </c>
      <c r="X15" s="63">
        <f>(((Constants!$B$29*0.000000001*Input!G15/Input!W15*(Constants!$B$11/Constants!$B$9))-(W15*0.000000001))/Input!F15)*1000000000</f>
        <v>0.90076002532553823</v>
      </c>
      <c r="Y15" s="63">
        <f>X15*Input!X15/100</f>
        <v>5.5957961250896106E-3</v>
      </c>
      <c r="Z15" s="63">
        <f>(X15/Constants!$B$11)*6.022E+23*0.000000001*Constants!$B$19/(365.2425*24*60)</f>
        <v>2.1990464261031114E-4</v>
      </c>
      <c r="AA15" s="63">
        <f>Z15*Input!X15/100</f>
        <v>1.3661147391207464E-6</v>
      </c>
      <c r="AB15" s="64">
        <v>0</v>
      </c>
      <c r="AC15" s="64">
        <v>0.9</v>
      </c>
      <c r="AD15" s="63">
        <f>(((Input!G15*Constants!$B$29*0.000000001*Input!U15*(Constants!$B$10/Constants!$B$9))-((AB15*0.000000000000001)+(Input!G15*AC15*0.000000000000001)))/Input!F15)*1000000000000</f>
        <v>223.05681207839825</v>
      </c>
      <c r="AE15" s="63">
        <f>AD15*Input!V15/100</f>
        <v>0.49422923875320074</v>
      </c>
      <c r="AF15" s="63">
        <f>(AD15/Constants!$B$10)*602200000000*Constants!$B$16/(365.2425*24*60)</f>
        <v>10.181577292851568</v>
      </c>
      <c r="AG15" s="63">
        <f>AF15*Input!V15/100</f>
        <v>2.2559423977530378E-2</v>
      </c>
      <c r="AH15" s="59">
        <f t="shared" si="20"/>
        <v>46299.965166693401</v>
      </c>
      <c r="AI15" s="68">
        <f t="shared" si="21"/>
        <v>305.37663656953305</v>
      </c>
      <c r="AJ15" s="65">
        <f t="shared" si="0"/>
        <v>6.0280368209930657E-2</v>
      </c>
      <c r="AK15" s="68">
        <f t="shared" si="22"/>
        <v>1.5564890281767243</v>
      </c>
      <c r="AL15" s="68">
        <f t="shared" si="23"/>
        <v>0.99591639465590087</v>
      </c>
      <c r="AM15" s="68">
        <f t="shared" si="24"/>
        <v>2.2130874101471817E-3</v>
      </c>
      <c r="AN15" s="59">
        <f>AF15/Q15</f>
        <v>0.99591639465590087</v>
      </c>
      <c r="AO15" s="63">
        <f t="shared" si="25"/>
        <v>2.2130874101471817E-3</v>
      </c>
      <c r="AP15" s="59">
        <f t="shared" si="1"/>
        <v>597.58199999999999</v>
      </c>
      <c r="AQ15" s="59" t="e">
        <f t="shared" si="2"/>
        <v>#VALUE!</v>
      </c>
      <c r="AR15" s="59" t="e">
        <f>(AQ15/AP15)*100</f>
        <v>#VALUE!</v>
      </c>
      <c r="AS15" s="67">
        <f>Z15/Q15</f>
        <v>2.1510089501586249E-5</v>
      </c>
      <c r="AT15" s="67">
        <f>AS15*SQRT((Y15/X15)^2+(P15/O15)^2)</f>
        <v>1.3367679900691234E-7</v>
      </c>
      <c r="AU15" s="59">
        <v>0.75</v>
      </c>
      <c r="AV15" s="59">
        <f t="shared" si="26"/>
        <v>0.375</v>
      </c>
      <c r="AW15" s="69">
        <f t="shared" si="3"/>
        <v>1.0000602813407027</v>
      </c>
      <c r="AX15" s="69">
        <f t="shared" si="4"/>
        <v>1.5565559502069069E-3</v>
      </c>
      <c r="AY15" s="148">
        <f t="shared" si="5"/>
        <v>1.556462124583284E-3</v>
      </c>
      <c r="AZ15" s="69">
        <f t="shared" si="6"/>
        <v>0.99591632877580072</v>
      </c>
      <c r="BA15" s="69">
        <f t="shared" si="7"/>
        <v>2.2131523985639417E-3</v>
      </c>
      <c r="BB15" s="148">
        <f t="shared" si="8"/>
        <v>2.2222272440139534E-3</v>
      </c>
      <c r="BC15" s="59">
        <f t="shared" si="9"/>
        <v>597.58050000000003</v>
      </c>
      <c r="BD15" s="59" t="e">
        <f t="shared" si="10"/>
        <v>#VALUE!</v>
      </c>
      <c r="BE15" s="148" t="e">
        <f t="shared" si="11"/>
        <v>#VALUE!</v>
      </c>
      <c r="BF15" s="59"/>
      <c r="BG15" s="59"/>
      <c r="BH15" s="59">
        <f t="shared" si="12"/>
        <v>597.58029999999997</v>
      </c>
      <c r="BI15" s="69">
        <f t="shared" si="13"/>
        <v>208.2398235606</v>
      </c>
      <c r="BJ15" s="69">
        <f t="shared" si="14"/>
        <v>81.091897595568554</v>
      </c>
      <c r="BK15" s="148">
        <f>BJ15/BH15</f>
        <v>0.13570041983574183</v>
      </c>
      <c r="BL15" s="59" t="str">
        <f>Input!B15</f>
        <v>Hu1-13</v>
      </c>
      <c r="BM15" s="70">
        <f>Input!E15</f>
        <v>0</v>
      </c>
      <c r="BN15" s="59">
        <f>((U15-1)*EXP(Constants!$B$17*BH15*1000))*1000</f>
        <v>0.32551675776886663</v>
      </c>
      <c r="BO15" s="65">
        <f t="shared" si="15"/>
        <v>8.4267675745297232</v>
      </c>
      <c r="BP15" s="59">
        <f t="shared" si="16"/>
        <v>597522.29999999993</v>
      </c>
      <c r="BQ15" s="71">
        <f t="shared" si="17"/>
        <v>40545.94879778428</v>
      </c>
      <c r="BR15" s="72">
        <f t="shared" si="18"/>
        <v>13.570041983574182</v>
      </c>
      <c r="BS15" s="73"/>
      <c r="BT15" s="87"/>
      <c r="BU15" s="87"/>
      <c r="BV15" s="87"/>
      <c r="BW15" s="87"/>
      <c r="BX15" s="87"/>
      <c r="BY15" s="88"/>
      <c r="BZ15" s="87"/>
      <c r="CA15" s="87"/>
      <c r="CB15" s="87"/>
      <c r="CC15" s="87"/>
      <c r="CD15" s="87"/>
      <c r="CE15" s="87"/>
      <c r="CF15" s="87"/>
      <c r="CG15" s="87"/>
      <c r="CH15" s="87"/>
      <c r="CI15" s="87"/>
      <c r="CJ15" s="87"/>
      <c r="CK15" s="87"/>
      <c r="CL15" s="87"/>
      <c r="CM15" s="87"/>
      <c r="CN15" s="87"/>
      <c r="CO15" s="87"/>
      <c r="CP15" s="87"/>
      <c r="CQ15" s="87"/>
      <c r="CR15" s="87"/>
      <c r="CS15" s="87"/>
      <c r="CT15" s="87"/>
      <c r="CU15" s="87"/>
      <c r="CV15" s="87"/>
      <c r="CW15" s="87"/>
      <c r="CX15" s="87"/>
      <c r="CY15" s="87"/>
      <c r="CZ15" s="87"/>
      <c r="DA15" s="87"/>
      <c r="DB15" s="87"/>
      <c r="DC15" s="87"/>
      <c r="DD15" s="87"/>
      <c r="DE15" s="87"/>
      <c r="DF15" s="87"/>
      <c r="DG15" s="87"/>
      <c r="DH15" s="87"/>
      <c r="DI15" s="87"/>
      <c r="DJ15" s="87"/>
      <c r="DK15" s="87"/>
      <c r="DL15" s="87"/>
      <c r="DM15" s="87"/>
      <c r="DN15" s="87"/>
      <c r="DO15" s="87"/>
      <c r="DP15" s="87"/>
      <c r="DQ15" s="87"/>
    </row>
    <row r="16" spans="1:121" ht="15" customHeight="1" x14ac:dyDescent="0.25">
      <c r="A16" s="58">
        <f>Input!A16</f>
        <v>10180</v>
      </c>
      <c r="B16" s="58" t="str">
        <f>Input!B16</f>
        <v>LA-10-03 bottom</v>
      </c>
      <c r="C16" s="58">
        <f>Input!O16</f>
        <v>1.0327621485125456</v>
      </c>
      <c r="D16" s="58">
        <f>C16*Input!P16/100</f>
        <v>2.4659856128651739E-3</v>
      </c>
      <c r="E16" s="77">
        <f>Input!M16</f>
        <v>1.0068983911855125</v>
      </c>
      <c r="F16" s="78">
        <f>E16*Input!N16/100</f>
        <v>5.8265120245434891E-5</v>
      </c>
      <c r="G16" s="79">
        <f t="shared" si="19"/>
        <v>138.83115017665847</v>
      </c>
      <c r="H16" s="78">
        <f>G16*Input!L16/100</f>
        <v>1.029074688908293E-2</v>
      </c>
      <c r="I16" s="58">
        <v>0.3</v>
      </c>
      <c r="J16" s="80">
        <f>(((C16*Constants!$B$26*0.000000001*Input!G16*(Constants!$B$4/Constants!$B$3))-(I16*0.000000000000001))/Input!F16)*1000000000000</f>
        <v>24.516657783130857</v>
      </c>
      <c r="K16" s="58">
        <f>J16*Input!P16/100</f>
        <v>5.8539834613240832E-2</v>
      </c>
      <c r="L16" s="81">
        <f>(J16/Constants!$B$4)*602200000000*Constants!$B$17/(365.2425*24*60)</f>
        <v>0.33847968190507771</v>
      </c>
      <c r="M16" s="74">
        <f>L16*Input!P16/100</f>
        <v>8.0820741448287383E-4</v>
      </c>
      <c r="N16" s="58">
        <v>5.0000000000000001E-3</v>
      </c>
      <c r="O16" s="80">
        <f>(((G16*Constants!$B$23*0.000000001*Input!G16*(Constants!$B$7/Constants!$B$6))-(N16*0.000000001))/Input!F16)*1000000</f>
        <v>0.33198735116284828</v>
      </c>
      <c r="P16" s="58">
        <f>O16*Input!N16/100</f>
        <v>1.9210759600769824E-5</v>
      </c>
      <c r="Q16" s="82">
        <f>(O16/Constants!$B$7)*602200000000000000*Constants!$B$18/(365.2425*24*60)</f>
        <v>0.2477026542508961</v>
      </c>
      <c r="R16" s="75">
        <f>Q16*Input!N16/100</f>
        <v>1.4333546524043252E-5</v>
      </c>
      <c r="S16" s="74">
        <f>Input!S16*Constants!$B$17/Constants!$B$18</f>
        <v>1.3607857880577447</v>
      </c>
      <c r="T16" s="58">
        <f>S16*Input!T16/100</f>
        <v>1.4661835391731892E-3</v>
      </c>
      <c r="U16" s="58">
        <f>S16*1/((U15+U17)/2)</f>
        <v>1.3616878749957393</v>
      </c>
      <c r="V16" s="58">
        <f>U16*Input!T16/100</f>
        <v>1.4671554959874049E-3</v>
      </c>
      <c r="W16" s="83">
        <v>3.0000000000000001E-3</v>
      </c>
      <c r="X16" s="80">
        <f>IF((((Constants!$B$29*0.000000001*Input!G16/Input!W16*(Constants!$B$11/Constants!$B$9))-(W16*0.000000001))/Input!F16)*1000000000&lt;0, "n.d.", (((Constants!$B$29*0.000000001*Input!G16/Input!W16*(Constants!$B$11/Constants!$B$9))-(W16*0.000000001))/Input!F16)*1000000000)</f>
        <v>9.8694113821490237E-2</v>
      </c>
      <c r="Y16" s="80">
        <f>X16*Input!X16/100</f>
        <v>2.2103886491993256E-4</v>
      </c>
      <c r="Z16" s="80">
        <f>(X16/Constants!$B$11)*6.022E+23*0.000000001*Constants!$B$19/(365.2425*24*60)</f>
        <v>2.4094423839260106E-5</v>
      </c>
      <c r="AA16" s="80">
        <f>Z16*Input!X16/100</f>
        <v>5.3962732832909287E-8</v>
      </c>
      <c r="AB16" s="81">
        <v>0.05</v>
      </c>
      <c r="AC16" s="81">
        <v>0.9</v>
      </c>
      <c r="AD16" s="80">
        <f>(((Input!G16*Constants!$B$29*0.000000001*Input!U16*(Constants!$B$10/Constants!$B$9))-((AB16*0.000000000000001)+(Input!G16*AC16*0.000000000000001)))/Input!F16)*1000000000000</f>
        <v>2.2842378460587454</v>
      </c>
      <c r="AE16" s="80">
        <f>AD16*Input!V16/100</f>
        <v>7.9828849538531692E-3</v>
      </c>
      <c r="AF16" s="80">
        <f>(AD16/Constants!$B$10)*602200000000*Constants!$B$16/(365.2425*24*60)</f>
        <v>0.10426556341498175</v>
      </c>
      <c r="AG16" s="80">
        <f>AF16*Input!V16/100</f>
        <v>3.6438411999285087E-4</v>
      </c>
      <c r="AH16" s="58">
        <f t="shared" si="20"/>
        <v>4327.3731760744004</v>
      </c>
      <c r="AI16" s="83">
        <f t="shared" si="21"/>
        <v>17.962186771247332</v>
      </c>
      <c r="AJ16" s="74">
        <f t="shared" si="0"/>
        <v>361.68787499573926</v>
      </c>
      <c r="AK16" s="83">
        <f t="shared" si="22"/>
        <v>1.4671554959874049</v>
      </c>
      <c r="AL16" s="83">
        <f t="shared" si="23"/>
        <v>0.42093034380395444</v>
      </c>
      <c r="AM16" s="83">
        <f t="shared" si="24"/>
        <v>1.4712562043414797E-3</v>
      </c>
      <c r="AN16" s="58">
        <f>AL16*1/((AN15+AN17)/2)</f>
        <v>0.42187877638978533</v>
      </c>
      <c r="AO16" s="80">
        <f t="shared" si="25"/>
        <v>1.4745712120306218E-3</v>
      </c>
      <c r="AP16" s="58">
        <f t="shared" si="1"/>
        <v>39.736400000000003</v>
      </c>
      <c r="AQ16" s="58">
        <f t="shared" si="2"/>
        <v>0.17430000000000001</v>
      </c>
      <c r="AR16" s="144">
        <f>(AQ16/AP16)</f>
        <v>4.3864064182965743E-3</v>
      </c>
      <c r="AS16" s="75">
        <f>IF(X16="n.d.", "n.d.", Z16/Q16)</f>
        <v>9.7271560985596258E-5</v>
      </c>
      <c r="AT16" s="75">
        <f>IF(X16="n.d.", "n.d.", AS16*SQRT((Y16/X16)^2+(P16/O16)^2))</f>
        <v>2.1792556769354031E-7</v>
      </c>
      <c r="AU16" s="58">
        <v>20.28</v>
      </c>
      <c r="AV16" s="58">
        <v>8.27</v>
      </c>
      <c r="AW16" s="76">
        <f t="shared" si="3"/>
        <v>1.3624027750839165</v>
      </c>
      <c r="AX16" s="76">
        <f t="shared" si="4"/>
        <v>2.0041681849570412E-3</v>
      </c>
      <c r="AY16" s="144">
        <f t="shared" si="5"/>
        <v>1.4710540976647639E-3</v>
      </c>
      <c r="AZ16" s="76">
        <f t="shared" si="6"/>
        <v>0.42073608142457292</v>
      </c>
      <c r="BA16" s="76">
        <f t="shared" si="7"/>
        <v>1.7168780379275938E-3</v>
      </c>
      <c r="BB16" s="144">
        <f t="shared" si="8"/>
        <v>4.0806532021556265E-3</v>
      </c>
      <c r="BC16" s="58">
        <f t="shared" si="9"/>
        <v>39.583199999999998</v>
      </c>
      <c r="BD16" s="58">
        <f t="shared" si="10"/>
        <v>0.20169999999999999</v>
      </c>
      <c r="BE16" s="144">
        <f t="shared" si="11"/>
        <v>5.095596111481639E-3</v>
      </c>
      <c r="BF16" s="144"/>
      <c r="BG16" s="144"/>
      <c r="BH16" s="58">
        <f t="shared" si="12"/>
        <v>39.583199999999998</v>
      </c>
      <c r="BI16" s="76">
        <f t="shared" si="13"/>
        <v>0.18219605280000001</v>
      </c>
      <c r="BJ16" s="76">
        <f t="shared" si="14"/>
        <v>0.18412708934673444</v>
      </c>
      <c r="BK16" s="144">
        <f>BJ16/BH16</f>
        <v>4.6516473995719008E-3</v>
      </c>
      <c r="BL16" s="58" t="str">
        <f>Input!B16</f>
        <v>LA-10-03 bottom</v>
      </c>
      <c r="BM16" s="84">
        <f>Input!E16</f>
        <v>0</v>
      </c>
      <c r="BN16" s="58">
        <f>((U16-1)*EXP(Constants!$B$17*BH16*1000))*1000</f>
        <v>404.4336856477625</v>
      </c>
      <c r="BO16" s="74">
        <f t="shared" si="15"/>
        <v>1.6542731032524007</v>
      </c>
      <c r="BP16" s="58">
        <f t="shared" si="16"/>
        <v>39525.199999999997</v>
      </c>
      <c r="BQ16" s="85">
        <f t="shared" si="17"/>
        <v>92.063544673367218</v>
      </c>
      <c r="BR16" s="86">
        <f t="shared" si="18"/>
        <v>0.4651647399571901</v>
      </c>
      <c r="BS16" s="87"/>
      <c r="BT16" s="87"/>
      <c r="BU16" s="87"/>
      <c r="BV16" s="87"/>
      <c r="BW16" s="87"/>
      <c r="BX16" s="87"/>
      <c r="BY16" s="88"/>
      <c r="BZ16" s="87"/>
      <c r="CA16" s="87"/>
      <c r="CB16" s="87"/>
      <c r="CC16" s="87"/>
      <c r="CD16" s="87"/>
      <c r="CE16" s="87"/>
      <c r="CF16" s="87"/>
      <c r="CG16" s="87"/>
      <c r="CH16" s="87"/>
      <c r="CI16" s="87"/>
      <c r="CJ16" s="87"/>
      <c r="CK16" s="87"/>
      <c r="CL16" s="87"/>
      <c r="CM16" s="87"/>
      <c r="CN16" s="87"/>
      <c r="CO16" s="87"/>
      <c r="CP16" s="87"/>
      <c r="CQ16" s="87"/>
      <c r="CR16" s="87"/>
      <c r="CS16" s="87"/>
      <c r="CT16" s="87"/>
      <c r="CU16" s="87"/>
      <c r="CV16" s="87"/>
      <c r="CW16" s="87"/>
      <c r="CX16" s="87"/>
      <c r="CY16" s="87"/>
      <c r="CZ16" s="87"/>
      <c r="DA16" s="87"/>
      <c r="DB16" s="87"/>
      <c r="DC16" s="87"/>
      <c r="DD16" s="87"/>
      <c r="DE16" s="87"/>
      <c r="DF16" s="87"/>
      <c r="DG16" s="87"/>
      <c r="DH16" s="87"/>
      <c r="DI16" s="87"/>
      <c r="DJ16" s="87"/>
      <c r="DK16" s="87"/>
      <c r="DL16" s="87"/>
      <c r="DM16" s="87"/>
      <c r="DN16" s="87"/>
      <c r="DO16" s="87"/>
      <c r="DP16" s="87"/>
      <c r="DQ16" s="87"/>
    </row>
    <row r="17" spans="1:121" ht="15" customHeight="1" x14ac:dyDescent="0.25">
      <c r="A17" s="59">
        <f>Input!A17</f>
        <v>10073</v>
      </c>
      <c r="B17" s="59" t="str">
        <f>Input!B17</f>
        <v>Hu1-13</v>
      </c>
      <c r="C17" s="59">
        <f>Input!O17</f>
        <v>2.0527520629488736</v>
      </c>
      <c r="D17" s="59">
        <f>C17*Input!P17/100</f>
        <v>2.0227629948687688E-2</v>
      </c>
      <c r="E17" s="60">
        <f>Input!M17</f>
        <v>2.7192205403053915</v>
      </c>
      <c r="F17" s="61">
        <f>E17*Input!N17/100</f>
        <v>4.676941533392913E-4</v>
      </c>
      <c r="G17" s="62">
        <f t="shared" si="19"/>
        <v>374.92612809730736</v>
      </c>
      <c r="H17" s="61">
        <f>G17*Input!L17/100</f>
        <v>2.6453183741967208E-2</v>
      </c>
      <c r="I17" s="59">
        <v>0</v>
      </c>
      <c r="J17" s="63">
        <f>(((C17*Constants!$B$26*0.000000001*Input!G17*(Constants!$B$4/Constants!$B$3))-(I17*0.000000000000001))/Input!F17)*1000000000000</f>
        <v>744.67933714548167</v>
      </c>
      <c r="K17" s="59">
        <f>J17*Input!P17/100</f>
        <v>7.338001668147883</v>
      </c>
      <c r="L17" s="64">
        <f>(J17/Constants!$B$4)*602200000000*Constants!$B$17/(365.2425*24*60)</f>
        <v>10.281125077812218</v>
      </c>
      <c r="M17" s="65">
        <f>L17*Input!P17/100</f>
        <v>0.10130926052092734</v>
      </c>
      <c r="N17" s="59">
        <v>0</v>
      </c>
      <c r="O17" s="63">
        <f>(((G17*Constants!$B$23*0.000000001*Input!G17*(Constants!$B$7/Constants!$B$6))-(N17*0.000000001))/Input!F17)*1000000</f>
        <v>13.701244415658685</v>
      </c>
      <c r="P17" s="59">
        <f>O17*Input!N17/100</f>
        <v>2.3565546860559198E-3</v>
      </c>
      <c r="Q17" s="66">
        <f>(O17/Constants!$B$7)*602200000000000000*Constants!$B$18/(365.2425*24*60)</f>
        <v>10.222782875345638</v>
      </c>
      <c r="R17" s="67">
        <f>Q17*Input!N17/100</f>
        <v>1.7582743697277389E-3</v>
      </c>
      <c r="S17" s="65">
        <f>Input!S17*Constants!$B$17/Constants!$B$18</f>
        <v>0.99861476557358142</v>
      </c>
      <c r="T17" s="59">
        <f>S17*Input!T17/100</f>
        <v>1.8378273786730278E-3</v>
      </c>
      <c r="U17" s="65">
        <f>S17</f>
        <v>0.99861476557358142</v>
      </c>
      <c r="V17" s="59">
        <f>U17*Input!T17/100</f>
        <v>1.8378273786730278E-3</v>
      </c>
      <c r="W17" s="68">
        <v>0</v>
      </c>
      <c r="X17" s="63">
        <f>(((Constants!$B$29*0.000000001*Input!G17/Input!W17*(Constants!$B$11/Constants!$B$9))-(W17*0.000000001))/Input!F17)*1000000000</f>
        <v>0.89919286262957632</v>
      </c>
      <c r="Y17" s="63">
        <f>X17*Input!X17/100</f>
        <v>6.7108716673380912E-3</v>
      </c>
      <c r="Z17" s="63">
        <f>(X17/Constants!$B$11)*6.022E+23*0.000000001*Constants!$B$19/(365.2425*24*60)</f>
        <v>2.1952204753184599E-4</v>
      </c>
      <c r="AA17" s="63">
        <f>Z17*Input!X17/100</f>
        <v>1.6383407279605945E-6</v>
      </c>
      <c r="AB17" s="64">
        <v>0</v>
      </c>
      <c r="AC17" s="64">
        <v>0.9</v>
      </c>
      <c r="AD17" s="63">
        <f>(((Input!G17*Constants!$B$29*0.000000001*Input!U17*(Constants!$B$10/Constants!$B$9))-((AB17*0.000000000000001)+(Input!G17*AC17*0.000000000000001)))/Input!F17)*1000000000000</f>
        <v>223.86712734689632</v>
      </c>
      <c r="AE17" s="63">
        <f>AD17*Input!V17/100</f>
        <v>0.70698891963748134</v>
      </c>
      <c r="AF17" s="63">
        <f>(AD17/Constants!$B$10)*602200000000*Constants!$B$16/(365.2425*24*60)</f>
        <v>10.218564674949054</v>
      </c>
      <c r="AG17" s="63">
        <f>AF17*Input!V17/100</f>
        <v>3.227098183376105E-2</v>
      </c>
      <c r="AH17" s="59">
        <f t="shared" si="20"/>
        <v>46549.149799938205</v>
      </c>
      <c r="AI17" s="68">
        <f t="shared" si="21"/>
        <v>377.22921465009762</v>
      </c>
      <c r="AJ17" s="65">
        <f t="shared" si="0"/>
        <v>-1.3852344264185801</v>
      </c>
      <c r="AK17" s="68">
        <f t="shared" si="22"/>
        <v>1.8378273786730279</v>
      </c>
      <c r="AL17" s="68">
        <f t="shared" si="23"/>
        <v>0.99958737259237329</v>
      </c>
      <c r="AM17" s="68">
        <f t="shared" si="24"/>
        <v>3.1614489698656338E-3</v>
      </c>
      <c r="AN17" s="59">
        <f>AF17/Q17</f>
        <v>0.99958737259237329</v>
      </c>
      <c r="AO17" s="63">
        <f t="shared" si="25"/>
        <v>3.1614489698656338E-3</v>
      </c>
      <c r="AP17" s="59" t="str">
        <f t="shared" si="1"/>
        <v>Out of range</v>
      </c>
      <c r="AQ17" s="59" t="e">
        <f t="shared" si="2"/>
        <v>#VALUE!</v>
      </c>
      <c r="AR17" s="59" t="e">
        <f>(AQ17/AP17)*100</f>
        <v>#VALUE!</v>
      </c>
      <c r="AS17" s="67">
        <f>Z17/Q17</f>
        <v>2.1473805147644187E-5</v>
      </c>
      <c r="AT17" s="67">
        <f>AS17*SQRT((Y17/X17)^2+(P17/O17)^2)</f>
        <v>1.6030622562701225E-7</v>
      </c>
      <c r="AU17" s="59">
        <v>0.75</v>
      </c>
      <c r="AV17" s="59">
        <f t="shared" si="26"/>
        <v>0.375</v>
      </c>
      <c r="AW17" s="69">
        <f t="shared" si="3"/>
        <v>0.9986147432635315</v>
      </c>
      <c r="AX17" s="69">
        <f t="shared" si="4"/>
        <v>1.8378922210900684E-3</v>
      </c>
      <c r="AY17" s="148">
        <f t="shared" si="5"/>
        <v>1.8404417053604965E-3</v>
      </c>
      <c r="AZ17" s="69">
        <f t="shared" si="6"/>
        <v>0.9995873659467559</v>
      </c>
      <c r="BA17" s="69">
        <f t="shared" si="7"/>
        <v>3.1615203946684586E-3</v>
      </c>
      <c r="BB17" s="148">
        <f t="shared" si="8"/>
        <v>3.1628254841676944E-3</v>
      </c>
      <c r="BC17" s="59" t="str">
        <f t="shared" si="9"/>
        <v>Out of range</v>
      </c>
      <c r="BD17" s="59" t="e">
        <f t="shared" si="10"/>
        <v>#VALUE!</v>
      </c>
      <c r="BE17" s="148" t="e">
        <f t="shared" si="11"/>
        <v>#VALUE!</v>
      </c>
      <c r="BF17" s="59"/>
      <c r="BG17" s="59"/>
      <c r="BH17" s="59" t="str">
        <f t="shared" si="12"/>
        <v>Out of range</v>
      </c>
      <c r="BI17" s="69">
        <f t="shared" si="13"/>
        <v>326.6905714083</v>
      </c>
      <c r="BJ17" s="69" t="e">
        <f t="shared" si="14"/>
        <v>#VALUE!</v>
      </c>
      <c r="BK17" s="148" t="e">
        <f>BJ17/BH17</f>
        <v>#VALUE!</v>
      </c>
      <c r="BL17" s="59" t="str">
        <f>Input!B17</f>
        <v>Hu1-13</v>
      </c>
      <c r="BM17" s="70">
        <f>Input!E17</f>
        <v>0</v>
      </c>
      <c r="BN17" s="59" t="e">
        <f>((U17-1)*EXP(Constants!$B$17*BH17*1000))*1000</f>
        <v>#VALUE!</v>
      </c>
      <c r="BO17" s="65" t="e">
        <f t="shared" si="15"/>
        <v>#VALUE!</v>
      </c>
      <c r="BP17" s="59" t="e">
        <f t="shared" si="16"/>
        <v>#VALUE!</v>
      </c>
      <c r="BQ17" s="71" t="e">
        <f t="shared" si="17"/>
        <v>#VALUE!</v>
      </c>
      <c r="BR17" s="72" t="e">
        <f t="shared" si="18"/>
        <v>#VALUE!</v>
      </c>
      <c r="BS17" s="73"/>
      <c r="BT17" s="87"/>
      <c r="BU17" s="87"/>
      <c r="BV17" s="87"/>
      <c r="BW17" s="87"/>
      <c r="BX17" s="87"/>
      <c r="BY17" s="88"/>
      <c r="BZ17" s="87"/>
      <c r="CA17" s="87"/>
      <c r="CB17" s="87"/>
      <c r="CC17" s="87"/>
      <c r="CD17" s="87"/>
      <c r="CE17" s="87"/>
      <c r="CF17" s="87"/>
      <c r="CG17" s="87"/>
      <c r="CH17" s="87"/>
      <c r="CI17" s="87"/>
      <c r="CJ17" s="87"/>
      <c r="CK17" s="87"/>
      <c r="CL17" s="87"/>
      <c r="CM17" s="87"/>
      <c r="CN17" s="87"/>
      <c r="CO17" s="87"/>
      <c r="CP17" s="87"/>
      <c r="CQ17" s="87"/>
      <c r="CR17" s="87"/>
      <c r="CS17" s="87"/>
      <c r="CT17" s="87"/>
      <c r="CU17" s="87"/>
      <c r="CV17" s="87"/>
      <c r="CW17" s="87"/>
      <c r="CX17" s="87"/>
      <c r="CY17" s="87"/>
      <c r="CZ17" s="87"/>
      <c r="DA17" s="87"/>
      <c r="DB17" s="87"/>
      <c r="DC17" s="87"/>
      <c r="DD17" s="87"/>
      <c r="DE17" s="87"/>
      <c r="DF17" s="87"/>
      <c r="DG17" s="87"/>
      <c r="DH17" s="87"/>
      <c r="DI17" s="87"/>
      <c r="DJ17" s="87"/>
      <c r="DK17" s="87"/>
      <c r="DL17" s="87"/>
      <c r="DM17" s="87"/>
      <c r="DN17" s="87"/>
      <c r="DO17" s="87"/>
      <c r="DP17" s="87"/>
      <c r="DQ17" s="87"/>
    </row>
    <row r="18" spans="1:121" ht="15" customHeight="1" x14ac:dyDescent="0.25">
      <c r="A18" s="58">
        <f>Input!A18</f>
        <v>10181</v>
      </c>
      <c r="B18" s="58" t="str">
        <f>Input!B18</f>
        <v>LA-10-03 top</v>
      </c>
      <c r="C18" s="58">
        <f>Input!O18</f>
        <v>1.2790207259665662</v>
      </c>
      <c r="D18" s="58">
        <f>C18*Input!P18/100</f>
        <v>5.642091358075486E-3</v>
      </c>
      <c r="E18" s="77">
        <f>Input!M18</f>
        <v>1.3260521150899058</v>
      </c>
      <c r="F18" s="78">
        <f>E18*Input!N18/100</f>
        <v>1.3561139057279492E-4</v>
      </c>
      <c r="G18" s="79">
        <f t="shared" si="19"/>
        <v>182.8360656285962</v>
      </c>
      <c r="H18" s="78">
        <f>G18*Input!L18/100</f>
        <v>1.6220056727435764E-2</v>
      </c>
      <c r="I18" s="58">
        <v>0.3</v>
      </c>
      <c r="J18" s="80">
        <f>(((C18*Constants!$B$26*0.000000001*Input!G18*(Constants!$B$4/Constants!$B$3))-(I18*0.000000000000001))/Input!F18)*1000000000000</f>
        <v>19.734188019994832</v>
      </c>
      <c r="K18" s="58">
        <f>J18*Input!P18/100</f>
        <v>8.7052609411084808E-2</v>
      </c>
      <c r="L18" s="81">
        <f>(J18/Constants!$B$4)*602200000000*Constants!$B$17/(365.2425*24*60)</f>
        <v>0.27245237677783651</v>
      </c>
      <c r="M18" s="74">
        <f>L18*Input!P18/100</f>
        <v>1.2018579287240887E-3</v>
      </c>
      <c r="N18" s="58">
        <v>5.0000000000000001E-3</v>
      </c>
      <c r="O18" s="80">
        <f>(((G18*Constants!$B$23*0.000000001*Input!G18*(Constants!$B$7/Constants!$B$6))-(N18*0.000000001))/Input!F18)*1000000</f>
        <v>0.28417155946977535</v>
      </c>
      <c r="P18" s="58">
        <f>O18*Input!N18/100</f>
        <v>2.9061376926594729E-5</v>
      </c>
      <c r="Q18" s="82">
        <f>(O18/Constants!$B$7)*602200000000000000*Constants!$B$18/(365.2425*24*60)</f>
        <v>0.2120262994861862</v>
      </c>
      <c r="R18" s="75">
        <f>Q18*Input!N18/100</f>
        <v>2.1683296594550605E-5</v>
      </c>
      <c r="S18" s="74">
        <f>Input!S18*Constants!$B$17/Constants!$B$18</f>
        <v>1.2831316317880566</v>
      </c>
      <c r="T18" s="58">
        <f>S18*Input!T18/100</f>
        <v>1.7882482795015481E-3</v>
      </c>
      <c r="U18" s="58">
        <f>S18*1/((U17+U19)/2)</f>
        <v>1.2833124024340827</v>
      </c>
      <c r="V18" s="58">
        <f>U18*Input!T18/100</f>
        <v>1.7885002121861865E-3</v>
      </c>
      <c r="W18" s="83">
        <v>3.0000000000000001E-3</v>
      </c>
      <c r="X18" s="80">
        <f>IF((((Constants!$B$29*0.000000001*Input!G18/Input!W18*(Constants!$B$11/Constants!$B$9))-(W18*0.000000001))/Input!F18)*1000000000&lt;0, "n.d.", (((Constants!$B$29*0.000000001*Input!G18/Input!W18*(Constants!$B$11/Constants!$B$9))-(W18*0.000000001))/Input!F18)*1000000000)</f>
        <v>1.2811305157676358</v>
      </c>
      <c r="Y18" s="80">
        <f>X18*Input!X18/100</f>
        <v>2.8060226074083212E-3</v>
      </c>
      <c r="Z18" s="80">
        <f>(X18/Constants!$B$11)*6.022E+23*0.000000001*Constants!$B$19/(365.2425*24*60)</f>
        <v>3.1276537622240561E-4</v>
      </c>
      <c r="AA18" s="80">
        <f>Z18*Input!X18/100</f>
        <v>6.8504083361778115E-7</v>
      </c>
      <c r="AB18" s="81">
        <v>0.05</v>
      </c>
      <c r="AC18" s="81">
        <v>0.9</v>
      </c>
      <c r="AD18" s="80">
        <f>(((Input!G18*Constants!$B$29*0.000000001*Input!U18*(Constants!$B$10/Constants!$B$9))-((AB18*0.000000000000001)+(Input!G18*AC18*0.000000000000001)))/Input!F18)*1000000000000</f>
        <v>4.6156647385562035</v>
      </c>
      <c r="AE18" s="80">
        <f>AD18*Input!V18/100</f>
        <v>1.5067822476340033E-2</v>
      </c>
      <c r="AF18" s="80">
        <f>(AD18/Constants!$B$10)*602200000000*Constants!$B$16/(365.2425*24*60)</f>
        <v>0.2106851023988551</v>
      </c>
      <c r="AG18" s="80">
        <f>AF18*Input!V18/100</f>
        <v>6.8778082923511594E-4</v>
      </c>
      <c r="AH18" s="58">
        <f t="shared" si="20"/>
        <v>673.62028669387678</v>
      </c>
      <c r="AI18" s="83">
        <f t="shared" si="21"/>
        <v>2.6481267460476423</v>
      </c>
      <c r="AJ18" s="74">
        <f t="shared" si="0"/>
        <v>283.31240243408274</v>
      </c>
      <c r="AK18" s="83">
        <f t="shared" si="22"/>
        <v>1.7885002121861866</v>
      </c>
      <c r="AL18" s="83">
        <f t="shared" si="23"/>
        <v>0.99367438336385017</v>
      </c>
      <c r="AM18" s="83">
        <f t="shared" si="24"/>
        <v>3.2454381199950272E-3</v>
      </c>
      <c r="AN18" s="58">
        <f>AL18*1/((AN17+AN19)/2)</f>
        <v>0.99484432052798466</v>
      </c>
      <c r="AO18" s="80">
        <f t="shared" si="25"/>
        <v>3.2492592496669295E-3</v>
      </c>
      <c r="AP18" s="58">
        <f t="shared" si="1"/>
        <v>148.86150000000001</v>
      </c>
      <c r="AQ18" s="58">
        <f t="shared" si="2"/>
        <v>1.0628</v>
      </c>
      <c r="AR18" s="144">
        <f>(AQ18/AP18)</f>
        <v>7.1395223076483839E-3</v>
      </c>
      <c r="AS18" s="75">
        <f>IF(X18="n.d.", "n.d.", Z18/Q18)</f>
        <v>1.4751253829376138E-3</v>
      </c>
      <c r="AT18" s="75">
        <f>IF(X18="n.d.", "n.d.", AS18*SQRT((Y18/X18)^2+(P18/O18)^2))</f>
        <v>3.2344438216065035E-6</v>
      </c>
      <c r="AU18" s="58">
        <v>20.28</v>
      </c>
      <c r="AV18" s="58">
        <v>8.27</v>
      </c>
      <c r="AW18" s="76">
        <f t="shared" si="3"/>
        <v>1.2920492131601444</v>
      </c>
      <c r="AX18" s="76">
        <f t="shared" si="4"/>
        <v>2.0629023808508298E-2</v>
      </c>
      <c r="AY18" s="144">
        <f t="shared" si="5"/>
        <v>1.5966128533179497E-2</v>
      </c>
      <c r="AZ18" s="76">
        <f t="shared" si="6"/>
        <v>0.99468532926842723</v>
      </c>
      <c r="BA18" s="76">
        <f t="shared" si="7"/>
        <v>1.8050965725956328E-2</v>
      </c>
      <c r="BB18" s="144">
        <f t="shared" si="8"/>
        <v>1.8147413252020596E-2</v>
      </c>
      <c r="BC18" s="58">
        <f t="shared" si="9"/>
        <v>146.5558</v>
      </c>
      <c r="BD18" s="58">
        <f t="shared" si="10"/>
        <v>7.4534000000000002</v>
      </c>
      <c r="BE18" s="144">
        <f t="shared" si="11"/>
        <v>5.0857079692513026E-2</v>
      </c>
      <c r="BF18" s="144"/>
      <c r="BG18" s="144"/>
      <c r="BH18" s="58">
        <f t="shared" si="12"/>
        <v>146.5558</v>
      </c>
      <c r="BI18" s="76">
        <f t="shared" si="13"/>
        <v>1.4308017265999999</v>
      </c>
      <c r="BJ18" s="76">
        <f t="shared" si="14"/>
        <v>1.4379531101912877</v>
      </c>
      <c r="BK18" s="144">
        <f>BJ18/BH18</f>
        <v>9.8116424610372819E-3</v>
      </c>
      <c r="BL18" s="58" t="str">
        <f>Input!B18</f>
        <v>LA-10-03 top</v>
      </c>
      <c r="BM18" s="84">
        <f>Input!E18</f>
        <v>0</v>
      </c>
      <c r="BN18" s="58">
        <f>((U18-1)*EXP(Constants!$B$17*BH18*1000))*1000</f>
        <v>428.43517595426408</v>
      </c>
      <c r="BO18" s="74">
        <f t="shared" si="15"/>
        <v>3.2186460830450976</v>
      </c>
      <c r="BP18" s="58">
        <f t="shared" si="16"/>
        <v>146497.80000000002</v>
      </c>
      <c r="BQ18" s="85">
        <f t="shared" si="17"/>
        <v>718.97655509564379</v>
      </c>
      <c r="BR18" s="86">
        <f t="shared" si="18"/>
        <v>0.98116424610372821</v>
      </c>
      <c r="BS18" s="87"/>
      <c r="BT18" s="87"/>
      <c r="BU18" s="87"/>
      <c r="BV18" s="87"/>
      <c r="BW18" s="87"/>
      <c r="BX18" s="87"/>
      <c r="BY18" s="88"/>
      <c r="BZ18" s="87"/>
      <c r="CA18" s="87"/>
      <c r="CB18" s="87"/>
      <c r="CC18" s="87"/>
      <c r="CD18" s="87"/>
      <c r="CE18" s="87"/>
      <c r="CF18" s="87"/>
      <c r="CG18" s="87"/>
      <c r="CH18" s="87"/>
      <c r="CI18" s="87"/>
      <c r="CJ18" s="87"/>
      <c r="CK18" s="87"/>
      <c r="CL18" s="87"/>
      <c r="CM18" s="87"/>
      <c r="CN18" s="87"/>
      <c r="CO18" s="87"/>
      <c r="CP18" s="87"/>
      <c r="CQ18" s="87"/>
      <c r="CR18" s="87"/>
      <c r="CS18" s="87"/>
      <c r="CT18" s="87"/>
      <c r="CU18" s="87"/>
      <c r="CV18" s="87"/>
      <c r="CW18" s="87"/>
      <c r="CX18" s="87"/>
      <c r="CY18" s="87"/>
      <c r="CZ18" s="87"/>
      <c r="DA18" s="87"/>
      <c r="DB18" s="87"/>
      <c r="DC18" s="87"/>
      <c r="DD18" s="87"/>
      <c r="DE18" s="87"/>
      <c r="DF18" s="87"/>
      <c r="DG18" s="87"/>
      <c r="DH18" s="87"/>
      <c r="DI18" s="87"/>
      <c r="DJ18" s="87"/>
      <c r="DK18" s="87"/>
      <c r="DL18" s="87"/>
      <c r="DM18" s="87"/>
      <c r="DN18" s="87"/>
      <c r="DO18" s="87"/>
      <c r="DP18" s="87"/>
      <c r="DQ18" s="87"/>
    </row>
    <row r="19" spans="1:121" ht="15" customHeight="1" x14ac:dyDescent="0.25">
      <c r="A19" s="59">
        <f>Input!A19</f>
        <v>10073</v>
      </c>
      <c r="B19" s="59" t="str">
        <f>Input!B19</f>
        <v>Hu1-13</v>
      </c>
      <c r="C19" s="59">
        <f>Input!O19</f>
        <v>2.1532076504292612</v>
      </c>
      <c r="D19" s="59">
        <f>C19*Input!P19/100</f>
        <v>2.6390534537572907E-2</v>
      </c>
      <c r="E19" s="60">
        <f>Input!M19</f>
        <v>2.7191664754880733</v>
      </c>
      <c r="F19" s="61">
        <f>E19*Input!N19/100</f>
        <v>5.4640614883749955E-4</v>
      </c>
      <c r="G19" s="62">
        <f t="shared" si="19"/>
        <v>374.91867364029554</v>
      </c>
      <c r="H19" s="61">
        <f>G19*Input!L19/100</f>
        <v>2.3439662168693583E-2</v>
      </c>
      <c r="I19" s="59">
        <v>0</v>
      </c>
      <c r="J19" s="63">
        <f>(((C19*Constants!$B$26*0.000000001*Input!G19*(Constants!$B$4/Constants!$B$3))-(I19*0.000000000000001))/Input!F19)*1000000000000</f>
        <v>781.1217315523304</v>
      </c>
      <c r="K19" s="59">
        <f>J19*Input!P19/100</f>
        <v>9.5737259852624508</v>
      </c>
      <c r="L19" s="64">
        <f>(J19/Constants!$B$4)*602200000000*Constants!$B$17/(365.2425*24*60)</f>
        <v>10.784252795130069</v>
      </c>
      <c r="M19" s="65">
        <f>L19*Input!P19/100</f>
        <v>0.13217591707658072</v>
      </c>
      <c r="N19" s="59">
        <v>0</v>
      </c>
      <c r="O19" s="63">
        <f>(((G19*Constants!$B$23*0.000000001*Input!G19*(Constants!$B$7/Constants!$B$6))-(N19*0.000000001))/Input!F19)*1000000</f>
        <v>13.700972001095254</v>
      </c>
      <c r="P19" s="59">
        <f>O19*Input!N19/100</f>
        <v>2.7531581511959931E-3</v>
      </c>
      <c r="Q19" s="66">
        <f>(O19/Constants!$B$7)*602200000000000000*Constants!$B$18/(365.2425*24*60)</f>
        <v>10.222579621184954</v>
      </c>
      <c r="R19" s="67">
        <f>Q19*Input!N19/100</f>
        <v>2.0541884479484771E-3</v>
      </c>
      <c r="S19" s="65">
        <f>Input!S19*Constants!$B$17/Constants!$B$18</f>
        <v>1.0011035093442275</v>
      </c>
      <c r="T19" s="59">
        <f>S19*Input!T19/100</f>
        <v>3.5083742281110798E-3</v>
      </c>
      <c r="U19" s="65">
        <f>S19</f>
        <v>1.0011035093442275</v>
      </c>
      <c r="V19" s="59">
        <f>U19*Input!T19/100</f>
        <v>3.5083742281110798E-3</v>
      </c>
      <c r="W19" s="68">
        <v>0</v>
      </c>
      <c r="X19" s="63">
        <f>(((Constants!$B$29*0.000000001*Input!G19/Input!W19*(Constants!$B$11/Constants!$B$9))-(W19*0.000000001))/Input!F19)*1000000000</f>
        <v>0.88966925985829004</v>
      </c>
      <c r="Y19" s="63">
        <f>X19*Input!X19/100</f>
        <v>4.2745358563974515E-3</v>
      </c>
      <c r="Z19" s="63">
        <f>(X19/Constants!$B$11)*6.022E+23*0.000000001*Constants!$B$19/(365.2425*24*60)</f>
        <v>2.1719702820938511E-4</v>
      </c>
      <c r="AA19" s="63">
        <f>Z19*Input!X19/100</f>
        <v>1.043552392865487E-6</v>
      </c>
      <c r="AB19" s="64">
        <v>0</v>
      </c>
      <c r="AC19" s="64">
        <v>0.9</v>
      </c>
      <c r="AD19" s="63">
        <f>(((Input!G19*Constants!$B$29*0.000000001*Input!U19*(Constants!$B$10/Constants!$B$9))-((AB19*0.000000000000001)+(Input!G19*AC19*0.000000000000001)))/Input!F19)*1000000000000</f>
        <v>223.52075385660518</v>
      </c>
      <c r="AE19" s="63">
        <f>AD19*Input!V19/100</f>
        <v>0.54472924134997591</v>
      </c>
      <c r="AF19" s="63">
        <f>(AD19/Constants!$B$10)*602200000000*Constants!$B$16/(365.2425*24*60)</f>
        <v>10.202754225446375</v>
      </c>
      <c r="AG19" s="63">
        <f>AF19*Input!V19/100</f>
        <v>2.4864530353512989E-2</v>
      </c>
      <c r="AH19" s="59">
        <f t="shared" si="20"/>
        <v>46974.649283003004</v>
      </c>
      <c r="AI19" s="68">
        <f t="shared" si="21"/>
        <v>253.06950481902695</v>
      </c>
      <c r="AJ19" s="65">
        <f t="shared" si="0"/>
        <v>1.1035093442275379</v>
      </c>
      <c r="AK19" s="68">
        <f t="shared" si="22"/>
        <v>3.5083742281110797</v>
      </c>
      <c r="AL19" s="68">
        <f t="shared" si="23"/>
        <v>0.99806062691871889</v>
      </c>
      <c r="AM19" s="68">
        <f t="shared" si="24"/>
        <v>2.4405691026806418E-3</v>
      </c>
      <c r="AN19" s="59">
        <f>AF19/Q19</f>
        <v>0.99806062691871889</v>
      </c>
      <c r="AO19" s="63">
        <f t="shared" si="25"/>
        <v>2.4405691026806418E-3</v>
      </c>
      <c r="AP19" s="59">
        <f t="shared" si="1"/>
        <v>616.6</v>
      </c>
      <c r="AQ19" s="59" t="e">
        <f t="shared" si="2"/>
        <v>#VALUE!</v>
      </c>
      <c r="AR19" s="59" t="e">
        <f>(AQ19/AP19)*100</f>
        <v>#VALUE!</v>
      </c>
      <c r="AS19" s="67">
        <f>Z19/Q19</f>
        <v>2.1246792517934788E-5</v>
      </c>
      <c r="AT19" s="67">
        <f>AS19*SQRT((Y19/X19)^2+(P19/O19)^2)</f>
        <v>1.0217232071773165E-7</v>
      </c>
      <c r="AU19" s="59">
        <v>0.75</v>
      </c>
      <c r="AV19" s="59">
        <f t="shared" si="26"/>
        <v>0.375</v>
      </c>
      <c r="AW19" s="69">
        <f t="shared" si="3"/>
        <v>1.0011035269290334</v>
      </c>
      <c r="AX19" s="69">
        <f t="shared" si="4"/>
        <v>3.5084482515388296E-3</v>
      </c>
      <c r="AY19" s="148">
        <f t="shared" si="5"/>
        <v>3.5045808521934592E-3</v>
      </c>
      <c r="AZ19" s="69">
        <f t="shared" si="6"/>
        <v>0.99806059601413333</v>
      </c>
      <c r="BA19" s="69">
        <f t="shared" si="7"/>
        <v>2.4406339573470786E-3</v>
      </c>
      <c r="BB19" s="148">
        <f t="shared" si="8"/>
        <v>2.4453765303369588E-3</v>
      </c>
      <c r="BC19" s="59">
        <f t="shared" si="9"/>
        <v>616.59810000000004</v>
      </c>
      <c r="BD19" s="59" t="e">
        <f t="shared" si="10"/>
        <v>#VALUE!</v>
      </c>
      <c r="BE19" s="148" t="e">
        <f t="shared" si="11"/>
        <v>#VALUE!</v>
      </c>
      <c r="BF19" s="59"/>
      <c r="BG19" s="59"/>
      <c r="BH19" s="59">
        <f t="shared" si="12"/>
        <v>616.59829999999999</v>
      </c>
      <c r="BI19" s="69">
        <f t="shared" si="13"/>
        <v>278.73792228479999</v>
      </c>
      <c r="BJ19" s="69">
        <f t="shared" si="14"/>
        <v>170.29748162925824</v>
      </c>
      <c r="BK19" s="148">
        <f>BJ19/BH19</f>
        <v>0.27618869794039042</v>
      </c>
      <c r="BL19" s="59" t="str">
        <f>Input!B19</f>
        <v>Hu1-13</v>
      </c>
      <c r="BM19" s="70">
        <f>Input!E19</f>
        <v>0</v>
      </c>
      <c r="BN19" s="59">
        <f>((U19-1)*EXP(Constants!$B$17*BH19*1000))*1000</f>
        <v>6.2875583329304909</v>
      </c>
      <c r="BO19" s="65">
        <f t="shared" si="15"/>
        <v>20.270661833577929</v>
      </c>
      <c r="BP19" s="59">
        <f>BH19*1000-58</f>
        <v>616540.30000000005</v>
      </c>
      <c r="BQ19" s="71">
        <f>BJ19/2*1000</f>
        <v>85148.740814629127</v>
      </c>
      <c r="BR19" s="72">
        <f>BJ19/BH19*100</f>
        <v>27.618869794039043</v>
      </c>
      <c r="BS19" s="73"/>
      <c r="BT19" s="87"/>
      <c r="BU19" s="87"/>
      <c r="BV19" s="87"/>
      <c r="BW19" s="87"/>
      <c r="BX19" s="87"/>
      <c r="BY19" s="88"/>
      <c r="BZ19" s="87"/>
      <c r="CA19" s="87"/>
      <c r="CB19" s="87"/>
      <c r="CC19" s="87"/>
      <c r="CD19" s="87"/>
      <c r="CE19" s="87"/>
      <c r="CF19" s="87"/>
      <c r="CG19" s="87"/>
      <c r="CH19" s="87"/>
      <c r="CI19" s="87"/>
      <c r="CJ19" s="87"/>
      <c r="CK19" s="87"/>
      <c r="CL19" s="87"/>
      <c r="CM19" s="87"/>
      <c r="CN19" s="87"/>
      <c r="CO19" s="87"/>
      <c r="CP19" s="87"/>
      <c r="CQ19" s="87"/>
      <c r="CR19" s="87"/>
      <c r="CS19" s="87"/>
      <c r="CT19" s="87"/>
      <c r="CU19" s="87"/>
      <c r="CV19" s="87"/>
      <c r="CW19" s="87"/>
      <c r="CX19" s="87"/>
      <c r="CY19" s="87"/>
      <c r="CZ19" s="87"/>
      <c r="DA19" s="87"/>
      <c r="DB19" s="87"/>
      <c r="DC19" s="87"/>
      <c r="DD19" s="87"/>
      <c r="DE19" s="87"/>
      <c r="DF19" s="87"/>
      <c r="DG19" s="87"/>
      <c r="DH19" s="87"/>
      <c r="DI19" s="87"/>
      <c r="DJ19" s="87"/>
      <c r="DK19" s="87"/>
      <c r="DL19" s="87"/>
      <c r="DM19" s="87"/>
      <c r="DN19" s="87"/>
      <c r="DO19" s="87"/>
      <c r="DP19" s="87"/>
      <c r="DQ19" s="87"/>
    </row>
    <row r="20" spans="1:121" ht="15" customHeight="1" x14ac:dyDescent="0.25">
      <c r="A20" s="58">
        <f>Input!A20</f>
        <v>10184</v>
      </c>
      <c r="B20" s="58" t="str">
        <f>Input!B20</f>
        <v>C1 bottom</v>
      </c>
      <c r="C20" s="58">
        <f>Input!O20</f>
        <v>0.52541577690791408</v>
      </c>
      <c r="D20" s="58">
        <f>C20*Input!P20/100</f>
        <v>2.222821803104306E-3</v>
      </c>
      <c r="E20" s="77">
        <f>Input!M20</f>
        <v>0.59443106243074451</v>
      </c>
      <c r="F20" s="78">
        <f>E20*Input!N20/100</f>
        <v>5.8099284755540904E-5</v>
      </c>
      <c r="G20" s="79">
        <f>E20*137.88</f>
        <v>81.960154887951049</v>
      </c>
      <c r="H20" s="78">
        <f>G20*Input!L20/100</f>
        <v>7.1524330417776219E-3</v>
      </c>
      <c r="I20" s="58">
        <v>0.3</v>
      </c>
      <c r="J20" s="80">
        <f>(((C20*Constants!$B$26*0.000000001*Input!G20*(Constants!$B$4/Constants!$B$3))-(I20*0.000000000000001))/Input!F20)*1000000000000</f>
        <v>10.585999579458838</v>
      </c>
      <c r="K20" s="58">
        <f>J20*Input!P20/100</f>
        <v>4.4785085844497197E-2</v>
      </c>
      <c r="L20" s="81">
        <f>(J20/Constants!$B$4)*602200000000*Constants!$B$17/(365.2425*24*60)</f>
        <v>0.14615147798685527</v>
      </c>
      <c r="M20" s="74">
        <f>L20*Input!P20/100</f>
        <v>6.1830783562869364E-4</v>
      </c>
      <c r="N20" s="58">
        <v>5.0000000000000001E-3</v>
      </c>
      <c r="O20" s="80">
        <f>(((G20*Constants!$B$23*0.000000001*Input!G20*(Constants!$B$7/Constants!$B$6))-(N20*0.000000001))/Input!F20)*1000000</f>
        <v>0.16634472038860962</v>
      </c>
      <c r="P20" s="58">
        <f>O20*Input!N20/100</f>
        <v>1.6258418996340129E-5</v>
      </c>
      <c r="Q20" s="82">
        <f>(O20/Constants!$B$7)*602200000000000000*Constants!$B$18/(365.2425*24*60)</f>
        <v>0.12411324894324099</v>
      </c>
      <c r="R20" s="75">
        <f>Q20*Input!N20/100</f>
        <v>1.2130743913014835E-5</v>
      </c>
      <c r="S20" s="74">
        <f>Input!S20*Constants!$B$17/Constants!$B$18</f>
        <v>1.1776409573842999</v>
      </c>
      <c r="T20" s="58">
        <f>S20*Input!T20/100</f>
        <v>2.9863954788026392E-3</v>
      </c>
      <c r="U20" s="58">
        <f>S20*1/((U19+U21)/2)</f>
        <v>1.1785289370273078</v>
      </c>
      <c r="V20" s="58">
        <f>U20*Input!T20/100</f>
        <v>2.9886473182741857E-3</v>
      </c>
      <c r="W20" s="83">
        <v>3.0000000000000001E-3</v>
      </c>
      <c r="X20" s="80">
        <f>IF((((Constants!$B$29*0.000000001*Input!G20/Input!W20*(Constants!$B$11/Constants!$B$9))-(W20*0.000000001))/Input!F20)*1000000000&lt;0, "n.d.", (((Constants!$B$29*0.000000001*Input!G20/Input!W20*(Constants!$B$11/Constants!$B$9))-(W20*0.000000001))/Input!F20)*1000000000)</f>
        <v>8.1382571939026802E-2</v>
      </c>
      <c r="Y20" s="80">
        <f>X20*Input!X20/100</f>
        <v>3.027720652032802E-4</v>
      </c>
      <c r="Z20" s="80">
        <f>(X20/Constants!$B$11)*6.022E+23*0.000000001*Constants!$B$19/(365.2425*24*60)</f>
        <v>1.9868116805574046E-5</v>
      </c>
      <c r="AA20" s="80">
        <f>Z20*Input!X20/100</f>
        <v>7.3916449352701395E-8</v>
      </c>
      <c r="AB20" s="81">
        <v>0.05</v>
      </c>
      <c r="AC20" s="81">
        <v>0.9</v>
      </c>
      <c r="AD20" s="80">
        <f>(((Input!G20*Constants!$B$29*0.000000001*Input!U20*(Constants!$B$10/Constants!$B$9))-((AB20*0.000000000000001)+(Input!G20*AC20*0.000000000000001)))/Input!F20)*1000000000000</f>
        <v>1.7014675114355899</v>
      </c>
      <c r="AE20" s="80">
        <f>AD20*Input!V20/100</f>
        <v>7.1374967610941253E-3</v>
      </c>
      <c r="AF20" s="80">
        <f>(AD20/Constants!$B$10)*602200000000*Constants!$B$16/(365.2425*24*60)</f>
        <v>7.7664621929898731E-2</v>
      </c>
      <c r="AG20" s="80">
        <f>AF20*Input!V20/100</f>
        <v>3.2579581082247219E-4</v>
      </c>
      <c r="AH20" s="58">
        <f>AF20/Z20</f>
        <v>3909.0077177374828</v>
      </c>
      <c r="AI20" s="83">
        <f>AH20*SQRT((AG20/AF20)^2+(AA20/Z20)^2)</f>
        <v>21.917747608032577</v>
      </c>
      <c r="AJ20" s="74">
        <f t="shared" si="0"/>
        <v>178.52893702730776</v>
      </c>
      <c r="AK20" s="83">
        <f>V20*1000</f>
        <v>2.9886473182741859</v>
      </c>
      <c r="AL20" s="83">
        <f>AF20/Q20</f>
        <v>0.625756094463501</v>
      </c>
      <c r="AM20" s="83">
        <f>AL20*SQRT((R20/Q20)^2+(AG20/AF20)^2)</f>
        <v>2.6257005889416909E-3</v>
      </c>
      <c r="AN20" s="58">
        <f>AL20*1/((AN19+AN21)/2)</f>
        <v>0.62641991229196881</v>
      </c>
      <c r="AO20" s="80">
        <f>AN20*SQRT((R20/Q20)^2+(AG20/AF20)^2)</f>
        <v>2.6284859982706283E-3</v>
      </c>
      <c r="AP20" s="58">
        <f t="shared" si="1"/>
        <v>80.722099999999998</v>
      </c>
      <c r="AQ20" s="58">
        <f t="shared" si="2"/>
        <v>0.57940000000000003</v>
      </c>
      <c r="AR20" s="144">
        <f>(AQ20/AP20)</f>
        <v>7.1777121754761095E-3</v>
      </c>
      <c r="AS20" s="75">
        <f>IF(X20="n.d.", "n.d.", Z20/Q20)</f>
        <v>1.6008054719975995E-4</v>
      </c>
      <c r="AT20" s="75">
        <f>IF(X20="n.d.", "n.d.", AS20*SQRT((Y20/X20)^2+(P20/O20)^2))</f>
        <v>5.9576196615620195E-7</v>
      </c>
      <c r="AU20" s="58">
        <v>20.28</v>
      </c>
      <c r="AV20" s="58">
        <v>8.27</v>
      </c>
      <c r="AW20" s="76">
        <f t="shared" si="3"/>
        <v>1.1791104070524621</v>
      </c>
      <c r="AX20" s="76">
        <f t="shared" si="4"/>
        <v>3.6341806709994338E-3</v>
      </c>
      <c r="AY20" s="144">
        <f t="shared" si="5"/>
        <v>3.0821377279538664E-3</v>
      </c>
      <c r="AZ20" s="76">
        <f t="shared" si="6"/>
        <v>0.62520315927358572</v>
      </c>
      <c r="BA20" s="76">
        <f t="shared" si="7"/>
        <v>3.0672154532095479E-3</v>
      </c>
      <c r="BB20" s="144">
        <f t="shared" si="8"/>
        <v>4.9059500223468163E-3</v>
      </c>
      <c r="BC20" s="58">
        <f t="shared" si="9"/>
        <v>80.432599999999994</v>
      </c>
      <c r="BD20" s="58">
        <f t="shared" si="10"/>
        <v>0.68769999999999998</v>
      </c>
      <c r="BE20" s="144">
        <f t="shared" si="11"/>
        <v>8.5500157896176432E-3</v>
      </c>
      <c r="BF20" s="144"/>
      <c r="BG20" s="144"/>
      <c r="BH20" s="58">
        <f t="shared" si="12"/>
        <v>80.432599999999994</v>
      </c>
      <c r="BI20" s="76">
        <f t="shared" si="13"/>
        <v>0.60213069519999995</v>
      </c>
      <c r="BJ20" s="76">
        <f t="shared" si="14"/>
        <v>0.59907200363827118</v>
      </c>
      <c r="BK20" s="144">
        <f>BJ20/BH20</f>
        <v>7.448124313254467E-3</v>
      </c>
      <c r="BL20" s="58" t="str">
        <f>Input!B20</f>
        <v>C1 bottom</v>
      </c>
      <c r="BM20" s="84">
        <f>Input!E20</f>
        <v>0</v>
      </c>
      <c r="BN20" s="58">
        <f>((U20-1)*EXP(Constants!$B$17*BH20*1000))*1000</f>
        <v>224.02022174656221</v>
      </c>
      <c r="BO20" s="74">
        <f t="shared" si="15"/>
        <v>3.7706085248329182</v>
      </c>
      <c r="BP20" s="58">
        <f>BH20*1000-58</f>
        <v>80374.599999999991</v>
      </c>
      <c r="BQ20" s="85">
        <f>BJ20/2*1000</f>
        <v>299.53600181913561</v>
      </c>
      <c r="BR20" s="86">
        <f>BJ20/BH20*100</f>
        <v>0.74481243132544672</v>
      </c>
      <c r="BS20" s="87"/>
      <c r="BT20" s="87"/>
      <c r="BU20" s="87"/>
      <c r="BV20" s="87"/>
      <c r="BW20" s="87"/>
      <c r="BX20" s="87"/>
      <c r="BY20" s="88"/>
      <c r="BZ20" s="87"/>
      <c r="CA20" s="87"/>
      <c r="CB20" s="87"/>
      <c r="CC20" s="87"/>
      <c r="CD20" s="87"/>
      <c r="CE20" s="87"/>
      <c r="CF20" s="87"/>
      <c r="CG20" s="87"/>
      <c r="CH20" s="87"/>
      <c r="CI20" s="87"/>
      <c r="CJ20" s="87"/>
      <c r="CK20" s="87"/>
      <c r="CL20" s="87"/>
      <c r="CM20" s="87"/>
      <c r="CN20" s="87"/>
      <c r="CO20" s="87"/>
      <c r="CP20" s="87"/>
      <c r="CQ20" s="87"/>
      <c r="CR20" s="87"/>
      <c r="CS20" s="87"/>
      <c r="CT20" s="87"/>
      <c r="CU20" s="87"/>
      <c r="CV20" s="87"/>
      <c r="CW20" s="87"/>
      <c r="CX20" s="87"/>
      <c r="CY20" s="87"/>
      <c r="CZ20" s="87"/>
      <c r="DA20" s="87"/>
      <c r="DB20" s="87"/>
      <c r="DC20" s="87"/>
      <c r="DD20" s="87"/>
      <c r="DE20" s="87"/>
      <c r="DF20" s="87"/>
      <c r="DG20" s="87"/>
      <c r="DH20" s="87"/>
      <c r="DI20" s="87"/>
      <c r="DJ20" s="87"/>
      <c r="DK20" s="87"/>
      <c r="DL20" s="87"/>
      <c r="DM20" s="87"/>
      <c r="DN20" s="87"/>
      <c r="DO20" s="87"/>
      <c r="DP20" s="87"/>
      <c r="DQ20" s="87"/>
    </row>
    <row r="21" spans="1:121" ht="15" customHeight="1" x14ac:dyDescent="0.25">
      <c r="A21" s="59">
        <f>Input!A21</f>
        <v>10073</v>
      </c>
      <c r="B21" s="59" t="str">
        <f>Input!B21</f>
        <v>Hu1-13</v>
      </c>
      <c r="C21" s="59">
        <f>Input!O21</f>
        <v>2.0487350309784533</v>
      </c>
      <c r="D21" s="59">
        <f>C21*Input!P21/100</f>
        <v>2.206528894992545E-2</v>
      </c>
      <c r="E21" s="60">
        <f>Input!M21</f>
        <v>2.7202832347768902</v>
      </c>
      <c r="F21" s="61">
        <f>E21*Input!N21/100</f>
        <v>4.6820266142320199E-4</v>
      </c>
      <c r="G21" s="62">
        <f t="shared" ref="G21:G23" si="27">E21*137.88</f>
        <v>375.07265241103761</v>
      </c>
      <c r="H21" s="61">
        <f>G21*Input!L21/100</f>
        <v>2.270560522011969E-2</v>
      </c>
      <c r="I21" s="59">
        <v>0</v>
      </c>
      <c r="J21" s="63">
        <f>(((C21*Constants!$B$26*0.000000001*Input!G21*(Constants!$B$4/Constants!$B$3))-(I21*0.000000000000001))/Input!F21)*1000000000000</f>
        <v>743.22207362154325</v>
      </c>
      <c r="K21" s="59">
        <f>J21*Input!P21/100</f>
        <v>8.0046514363499401</v>
      </c>
      <c r="L21" s="64">
        <f>(J21/Constants!$B$4)*602200000000*Constants!$B$17/(365.2425*24*60)</f>
        <v>10.261005936842933</v>
      </c>
      <c r="M21" s="65">
        <f>L21*Input!P21/100</f>
        <v>0.11051310076208727</v>
      </c>
      <c r="N21" s="59">
        <v>0</v>
      </c>
      <c r="O21" s="63">
        <f>(((G21*Constants!$B$23*0.000000001*Input!G21*(Constants!$B$7/Constants!$B$6))-(N21*0.000000001))/Input!F21)*1000000</f>
        <v>13.706598978290643</v>
      </c>
      <c r="P21" s="59">
        <f>O21*Input!N21/100</f>
        <v>2.3591168885112664E-3</v>
      </c>
      <c r="Q21" s="66">
        <f>(O21/Constants!$B$7)*602200000000000000*Constants!$B$18/(365.2425*24*60)</f>
        <v>10.226778025677852</v>
      </c>
      <c r="R21" s="67">
        <f>Q21*Input!N21/100</f>
        <v>1.7601860821670667E-3</v>
      </c>
      <c r="S21" s="65">
        <f>Input!S21*Constants!$B$17/Constants!$B$18</f>
        <v>0.9973895617801054</v>
      </c>
      <c r="T21" s="59">
        <f>S21*Input!T21/100</f>
        <v>2.6204461558149007E-3</v>
      </c>
      <c r="U21" s="65">
        <f>S21</f>
        <v>0.9973895617801054</v>
      </c>
      <c r="V21" s="59">
        <f>U21*Input!T21/100</f>
        <v>2.6204461558149007E-3</v>
      </c>
      <c r="W21" s="68">
        <v>0</v>
      </c>
      <c r="X21" s="63">
        <f>(((Constants!$B$29*0.000000001*Input!G21/Input!W21*(Constants!$B$11/Constants!$B$9))-(W21*0.000000001))/Input!F21)*1000000000</f>
        <v>0.88170590841255114</v>
      </c>
      <c r="Y21" s="63">
        <f>X21*Input!X21/100</f>
        <v>5.2417753564927925E-3</v>
      </c>
      <c r="Z21" s="63">
        <f>(X21/Constants!$B$11)*6.022E+23*0.000000001*Constants!$B$19/(365.2425*24*60)</f>
        <v>2.1525291667643528E-4</v>
      </c>
      <c r="AA21" s="63">
        <f>Z21*Input!X21/100</f>
        <v>1.2796868244641487E-6</v>
      </c>
      <c r="AB21" s="64">
        <v>0</v>
      </c>
      <c r="AC21" s="64">
        <v>0.9</v>
      </c>
      <c r="AD21" s="63">
        <f>(((Input!G21*Constants!$B$29*0.000000001*Input!U21*(Constants!$B$10/Constants!$B$9))-((AB21*0.000000000000001)+(Input!G21*AC21*0.000000000000001)))/Input!F21)*1000000000000</f>
        <v>224.00672951437048</v>
      </c>
      <c r="AE21" s="63">
        <f>AD21*Input!V21/100</f>
        <v>0.80016029911295505</v>
      </c>
      <c r="AF21" s="63">
        <f>(AD21/Constants!$B$10)*602200000000*Constants!$B$16/(365.2425*24*60)</f>
        <v>10.224936909202487</v>
      </c>
      <c r="AG21" s="63">
        <f>AF21*Input!V21/100</f>
        <v>3.6523851731667251E-2</v>
      </c>
      <c r="AH21" s="59">
        <f t="shared" ref="AH21:AH23" si="28">AF21/Z21</f>
        <v>47501.966835471256</v>
      </c>
      <c r="AI21" s="68">
        <f t="shared" ref="AI21:AI23" si="29">AH21*SQRT((AG21/AF21)^2+(AA21/Z21)^2)</f>
        <v>329.45594242670973</v>
      </c>
      <c r="AJ21" s="65">
        <f t="shared" si="0"/>
        <v>-2.6104382198945952</v>
      </c>
      <c r="AK21" s="68">
        <f t="shared" ref="AK21:AK23" si="30">V21*1000</f>
        <v>2.6204461558149008</v>
      </c>
      <c r="AL21" s="68">
        <f t="shared" ref="AL21:AL23" si="31">AF21/Q21</f>
        <v>0.99981997101425857</v>
      </c>
      <c r="AM21" s="68">
        <f t="shared" ref="AM21:AM23" si="32">AL21*SQRT((R21/Q21)^2+(AG21/AF21)^2)</f>
        <v>3.5755372730517042E-3</v>
      </c>
      <c r="AN21" s="59">
        <f>AF21/Q21</f>
        <v>0.99981997101425857</v>
      </c>
      <c r="AO21" s="63">
        <f t="shared" ref="AO21:AO23" si="33">AN21*SQRT((R21/Q21)^2+(AG21/AF21)^2)</f>
        <v>3.5755372730517042E-3</v>
      </c>
      <c r="AP21" s="59" t="str">
        <f t="shared" si="1"/>
        <v>Out of range</v>
      </c>
      <c r="AQ21" s="59" t="e">
        <f t="shared" si="2"/>
        <v>#VALUE!</v>
      </c>
      <c r="AR21" s="59" t="e">
        <f>(AQ21/AP21)*100</f>
        <v>#VALUE!</v>
      </c>
      <c r="AS21" s="67">
        <f>Z21/Q21</f>
        <v>2.1047969960428261E-5</v>
      </c>
      <c r="AT21" s="67">
        <f>AS21*SQRT((Y21/X21)^2+(P21/O21)^2)</f>
        <v>1.2518341594102363E-7</v>
      </c>
      <c r="AU21" s="59">
        <v>0.75</v>
      </c>
      <c r="AV21" s="59">
        <f>AU21/2</f>
        <v>0.375</v>
      </c>
      <c r="AW21" s="69">
        <f t="shared" si="3"/>
        <v>0.99738952057113595</v>
      </c>
      <c r="AX21" s="69">
        <f t="shared" si="4"/>
        <v>2.6205112387120478E-3</v>
      </c>
      <c r="AY21" s="148">
        <f t="shared" si="5"/>
        <v>2.627369933876448E-3</v>
      </c>
      <c r="AZ21" s="69">
        <f t="shared" si="6"/>
        <v>0.99981996817228014</v>
      </c>
      <c r="BA21" s="69">
        <f t="shared" si="7"/>
        <v>3.5756111406055101E-3</v>
      </c>
      <c r="BB21" s="148">
        <f t="shared" si="8"/>
        <v>3.5762549803260105E-3</v>
      </c>
      <c r="BC21" s="59" t="str">
        <f t="shared" si="9"/>
        <v>Out of range</v>
      </c>
      <c r="BD21" s="59" t="e">
        <f t="shared" si="10"/>
        <v>#VALUE!</v>
      </c>
      <c r="BE21" s="148" t="e">
        <f t="shared" si="11"/>
        <v>#VALUE!</v>
      </c>
      <c r="BF21" s="59"/>
      <c r="BG21" s="59"/>
      <c r="BH21" s="59" t="str">
        <f t="shared" si="12"/>
        <v>Out of range</v>
      </c>
      <c r="BI21" s="69">
        <f t="shared" si="13"/>
        <v>276.93769948559998</v>
      </c>
      <c r="BJ21" s="69" t="e">
        <f t="shared" si="14"/>
        <v>#VALUE!</v>
      </c>
      <c r="BK21" s="148" t="e">
        <f>BJ21/BH21</f>
        <v>#VALUE!</v>
      </c>
      <c r="BL21" s="59" t="str">
        <f>Input!B21</f>
        <v>Hu1-13</v>
      </c>
      <c r="BM21" s="70">
        <f>Input!E21</f>
        <v>0</v>
      </c>
      <c r="BN21" s="59" t="e">
        <f>((U21-1)*EXP(Constants!$B$17*BH21*1000))*1000</f>
        <v>#VALUE!</v>
      </c>
      <c r="BO21" s="65" t="e">
        <f t="shared" si="15"/>
        <v>#VALUE!</v>
      </c>
      <c r="BP21" s="59" t="e">
        <f>BH21*1000-58</f>
        <v>#VALUE!</v>
      </c>
      <c r="BQ21" s="71" t="e">
        <f>BJ21/2*1000</f>
        <v>#VALUE!</v>
      </c>
      <c r="BR21" s="72" t="e">
        <f>BJ21/BH21*100</f>
        <v>#VALUE!</v>
      </c>
      <c r="BS21" s="73"/>
      <c r="BT21" s="87"/>
      <c r="BU21" s="87"/>
      <c r="BV21" s="87"/>
      <c r="BW21" s="87"/>
      <c r="BX21" s="87"/>
      <c r="BY21" s="88"/>
      <c r="BZ21" s="87"/>
      <c r="CA21" s="87"/>
      <c r="CB21" s="87"/>
      <c r="CC21" s="87"/>
      <c r="CD21" s="87"/>
      <c r="CE21" s="87"/>
      <c r="CF21" s="87"/>
      <c r="CG21" s="87"/>
      <c r="CH21" s="87"/>
      <c r="CI21" s="87"/>
      <c r="CJ21" s="87"/>
      <c r="CK21" s="87"/>
      <c r="CL21" s="87"/>
      <c r="CM21" s="87"/>
      <c r="CN21" s="87"/>
      <c r="CO21" s="87"/>
      <c r="CP21" s="87"/>
      <c r="CQ21" s="87"/>
      <c r="CR21" s="87"/>
      <c r="CS21" s="87"/>
      <c r="CT21" s="87"/>
      <c r="CU21" s="87"/>
      <c r="CV21" s="87"/>
      <c r="CW21" s="87"/>
      <c r="CX21" s="87"/>
      <c r="CY21" s="87"/>
      <c r="CZ21" s="87"/>
      <c r="DA21" s="87"/>
      <c r="DB21" s="87"/>
      <c r="DC21" s="87"/>
      <c r="DD21" s="87"/>
      <c r="DE21" s="87"/>
      <c r="DF21" s="87"/>
      <c r="DG21" s="87"/>
      <c r="DH21" s="87"/>
      <c r="DI21" s="87"/>
      <c r="DJ21" s="87"/>
      <c r="DK21" s="87"/>
      <c r="DL21" s="87"/>
      <c r="DM21" s="87"/>
      <c r="DN21" s="87"/>
      <c r="DO21" s="87"/>
      <c r="DP21" s="87"/>
      <c r="DQ21" s="87"/>
    </row>
    <row r="22" spans="1:121" ht="15" customHeight="1" x14ac:dyDescent="0.25">
      <c r="A22" s="58">
        <f>Input!A22</f>
        <v>10185</v>
      </c>
      <c r="B22" s="58" t="str">
        <f>Input!B22</f>
        <v>C1 middle</v>
      </c>
      <c r="C22" s="58">
        <f>Input!O22</f>
        <v>0.46105539228355857</v>
      </c>
      <c r="D22" s="58">
        <f>C22*Input!P22/100</f>
        <v>1.3930100109222883E-3</v>
      </c>
      <c r="E22" s="77">
        <f>Input!M22</f>
        <v>0.50442768634327662</v>
      </c>
      <c r="F22" s="78">
        <f>E22*Input!N22/100</f>
        <v>6.0622599583509087E-5</v>
      </c>
      <c r="G22" s="79">
        <f t="shared" si="27"/>
        <v>69.550489393010977</v>
      </c>
      <c r="H22" s="78">
        <f>G22*Input!L22/100</f>
        <v>6.2031439024632122E-3</v>
      </c>
      <c r="I22" s="58">
        <v>0.3</v>
      </c>
      <c r="J22" s="80">
        <f>(((C22*Constants!$B$26*0.000000001*Input!G22*(Constants!$B$4/Constants!$B$3))-(I22*0.000000000000001))/Input!F22)*1000000000000</f>
        <v>8.1814231904681218</v>
      </c>
      <c r="K22" s="58">
        <f>J22*Input!P22/100</f>
        <v>2.4718948305683393E-2</v>
      </c>
      <c r="L22" s="81">
        <f>(J22/Constants!$B$4)*602200000000*Constants!$B$17/(365.2425*24*60)</f>
        <v>0.1129536310999906</v>
      </c>
      <c r="M22" s="74">
        <f>L22*Input!P22/100</f>
        <v>3.4127252717508467E-4</v>
      </c>
      <c r="N22" s="58">
        <v>5.0000000000000001E-3</v>
      </c>
      <c r="O22" s="80">
        <f>(((G22*Constants!$B$23*0.000000001*Input!G22*(Constants!$B$7/Constants!$B$6))-(N22*0.000000001))/Input!F22)*1000000</f>
        <v>0.12432250596817163</v>
      </c>
      <c r="P22" s="58">
        <f>O22*Input!N22/100</f>
        <v>1.4941197128101179E-5</v>
      </c>
      <c r="Q22" s="82">
        <f>(O22/Constants!$B$7)*602200000000000000*Constants!$B$18/(365.2425*24*60)</f>
        <v>9.2759602447423484E-2</v>
      </c>
      <c r="R22" s="75">
        <f>Q22*Input!N22/100</f>
        <v>1.1147937333615778E-5</v>
      </c>
      <c r="S22" s="74">
        <f>Input!S22*Constants!$B$17/Constants!$B$18</f>
        <v>1.2157758034490675</v>
      </c>
      <c r="T22" s="58">
        <f>S22*Input!T22/100</f>
        <v>2.9917566236462596E-3</v>
      </c>
      <c r="U22" s="58">
        <f>S22*1/((U21+U23)/2)</f>
        <v>1.2190794601012787</v>
      </c>
      <c r="V22" s="58">
        <f>U22*Input!T22/100</f>
        <v>2.9998861954336452E-3</v>
      </c>
      <c r="W22" s="83">
        <v>3.0000000000000001E-3</v>
      </c>
      <c r="X22" s="80">
        <f>IF((((Constants!$B$29*0.000000001*Input!G22/Input!W22*(Constants!$B$11/Constants!$B$9))-(W22*0.000000001))/Input!F22)*1000000000&lt;0, "n.d.", (((Constants!$B$29*0.000000001*Input!G22/Input!W22*(Constants!$B$11/Constants!$B$9))-(W22*0.000000001))/Input!F22)*1000000000)</f>
        <v>0.18900418591935148</v>
      </c>
      <c r="Y22" s="80">
        <f>X22*Input!X22/100</f>
        <v>3.529734563462309E-4</v>
      </c>
      <c r="Z22" s="80">
        <f>(X22/Constants!$B$11)*6.022E+23*0.000000001*Constants!$B$19/(365.2425*24*60)</f>
        <v>4.6142032048354726E-5</v>
      </c>
      <c r="AA22" s="80">
        <f>Z22*Input!X22/100</f>
        <v>8.6172231877954219E-8</v>
      </c>
      <c r="AB22" s="81">
        <v>0.05</v>
      </c>
      <c r="AC22" s="81">
        <v>0.9</v>
      </c>
      <c r="AD22" s="80">
        <f>(((Input!G22*Constants!$B$29*0.000000001*Input!U22*(Constants!$B$10/Constants!$B$9))-((AB22*0.000000000000001)+(Input!G22*AC22*0.000000000000001)))/Input!F22)*1000000000000</f>
        <v>1.1807094219740597</v>
      </c>
      <c r="AE22" s="80">
        <f>AD22*Input!V22/100</f>
        <v>4.11172218896838E-3</v>
      </c>
      <c r="AF22" s="80">
        <f>(AD22/Constants!$B$10)*602200000000*Constants!$B$16/(365.2425*24*60)</f>
        <v>5.3894270828194972E-2</v>
      </c>
      <c r="AG22" s="80">
        <f>AF22*Input!V22/100</f>
        <v>1.876823078552761E-4</v>
      </c>
      <c r="AH22" s="58">
        <f t="shared" si="28"/>
        <v>1168.0081790007916</v>
      </c>
      <c r="AI22" s="83">
        <f t="shared" si="29"/>
        <v>4.6154716343012652</v>
      </c>
      <c r="AJ22" s="74">
        <f t="shared" si="0"/>
        <v>219.07946010127864</v>
      </c>
      <c r="AK22" s="83">
        <f t="shared" si="30"/>
        <v>2.9998861954336453</v>
      </c>
      <c r="AL22" s="83">
        <f t="shared" si="31"/>
        <v>0.58101015319403149</v>
      </c>
      <c r="AM22" s="83">
        <f t="shared" si="32"/>
        <v>2.0245239733120979E-3</v>
      </c>
      <c r="AN22" s="58">
        <f>AL22*1/((AN21+AN23)/2)</f>
        <v>0.58063556105288205</v>
      </c>
      <c r="AO22" s="80">
        <f t="shared" si="33"/>
        <v>2.0232187108036852E-3</v>
      </c>
      <c r="AP22" s="58">
        <f t="shared" si="1"/>
        <v>68.919899999999998</v>
      </c>
      <c r="AQ22" s="58">
        <f t="shared" si="2"/>
        <v>0.4123</v>
      </c>
      <c r="AR22" s="144">
        <f>(AQ22/AP22)</f>
        <v>5.9823069969631411E-3</v>
      </c>
      <c r="AS22" s="75">
        <f>IF(X22="n.d.", "n.d.", Z22/Q22)</f>
        <v>4.9743671631740998E-4</v>
      </c>
      <c r="AT22" s="75">
        <f>IF(X22="n.d.", "n.d.", AS22*SQRT((Y22/X22)^2+(P22/O22)^2))</f>
        <v>9.3090607382927899E-7</v>
      </c>
      <c r="AU22" s="58">
        <v>20.28</v>
      </c>
      <c r="AV22" s="58">
        <v>8.27</v>
      </c>
      <c r="AW22" s="76">
        <f t="shared" si="3"/>
        <v>1.2213120598362175</v>
      </c>
      <c r="AX22" s="76">
        <f t="shared" si="4"/>
        <v>7.2259728436940432E-3</v>
      </c>
      <c r="AY22" s="144">
        <f t="shared" si="5"/>
        <v>5.9165655374459111E-3</v>
      </c>
      <c r="AZ22" s="76">
        <f t="shared" si="6"/>
        <v>0.57636189279204531</v>
      </c>
      <c r="BA22" s="76">
        <f t="shared" si="7"/>
        <v>5.2139036242020214E-3</v>
      </c>
      <c r="BB22" s="144">
        <f t="shared" si="8"/>
        <v>9.0462323921946513E-3</v>
      </c>
      <c r="BC22" s="58">
        <f t="shared" si="9"/>
        <v>68.047399999999996</v>
      </c>
      <c r="BD22" s="58">
        <f t="shared" si="10"/>
        <v>1.0156000000000001</v>
      </c>
      <c r="BE22" s="144">
        <f t="shared" si="11"/>
        <v>1.4924890590970413E-2</v>
      </c>
      <c r="BF22" s="144"/>
      <c r="BG22" s="144"/>
      <c r="BH22" s="58">
        <f t="shared" si="12"/>
        <v>68.047399999999996</v>
      </c>
      <c r="BI22" s="76">
        <f t="shared" si="13"/>
        <v>0.55194978520000004</v>
      </c>
      <c r="BJ22" s="76">
        <f t="shared" si="14"/>
        <v>0.54413647800628562</v>
      </c>
      <c r="BK22" s="144">
        <f>BJ22/BH22</f>
        <v>7.9964330452932161E-3</v>
      </c>
      <c r="BL22" s="58" t="str">
        <f>Input!B22</f>
        <v>C1 middle</v>
      </c>
      <c r="BM22" s="84">
        <f>Input!E22</f>
        <v>0</v>
      </c>
      <c r="BN22" s="58">
        <f>((U22-1)*EXP(Constants!$B$17*BH22*1000))*1000</f>
        <v>265.46110722739388</v>
      </c>
      <c r="BO22" s="74">
        <f t="shared" si="15"/>
        <v>3.6589059224276581</v>
      </c>
      <c r="BP22" s="58">
        <f>BH22*1000-58</f>
        <v>67989.399999999994</v>
      </c>
      <c r="BQ22" s="85">
        <f>BJ22/2*1000</f>
        <v>272.06823900314282</v>
      </c>
      <c r="BR22" s="86">
        <f>BJ22/BH22*100</f>
        <v>0.79964330452932164</v>
      </c>
      <c r="BS22" s="87"/>
      <c r="BT22" s="87"/>
      <c r="BU22" s="87"/>
      <c r="BV22" s="87"/>
      <c r="BW22" s="87"/>
      <c r="BX22" s="87"/>
      <c r="BY22" s="88"/>
      <c r="BZ22" s="87"/>
      <c r="CA22" s="87"/>
      <c r="CB22" s="87"/>
      <c r="CC22" s="87"/>
      <c r="CD22" s="87"/>
      <c r="CE22" s="87"/>
      <c r="CF22" s="87"/>
      <c r="CG22" s="87"/>
      <c r="CH22" s="87"/>
      <c r="CI22" s="87"/>
      <c r="CJ22" s="87"/>
      <c r="CK22" s="87"/>
      <c r="CL22" s="87"/>
      <c r="CM22" s="87"/>
      <c r="CN22" s="87"/>
      <c r="CO22" s="87"/>
      <c r="CP22" s="87"/>
      <c r="CQ22" s="87"/>
      <c r="CR22" s="87"/>
      <c r="CS22" s="87"/>
      <c r="CT22" s="87"/>
      <c r="CU22" s="87"/>
      <c r="CV22" s="87"/>
      <c r="CW22" s="87"/>
      <c r="CX22" s="87"/>
      <c r="CY22" s="87"/>
      <c r="CZ22" s="87"/>
      <c r="DA22" s="87"/>
      <c r="DB22" s="87"/>
      <c r="DC22" s="87"/>
      <c r="DD22" s="87"/>
      <c r="DE22" s="87"/>
      <c r="DF22" s="87"/>
      <c r="DG22" s="87"/>
      <c r="DH22" s="87"/>
      <c r="DI22" s="87"/>
      <c r="DJ22" s="87"/>
      <c r="DK22" s="87"/>
      <c r="DL22" s="87"/>
      <c r="DM22" s="87"/>
      <c r="DN22" s="87"/>
      <c r="DO22" s="87"/>
      <c r="DP22" s="87"/>
      <c r="DQ22" s="87"/>
    </row>
    <row r="23" spans="1:121" ht="15" customHeight="1" x14ac:dyDescent="0.25">
      <c r="A23" s="59">
        <f>Input!A23</f>
        <v>10073</v>
      </c>
      <c r="B23" s="59" t="str">
        <f>Input!B23</f>
        <v>Hu1-13</v>
      </c>
      <c r="C23" s="59">
        <f>Input!O23</f>
        <v>2.0521644964599721</v>
      </c>
      <c r="D23" s="59">
        <f>C23*Input!P23/100</f>
        <v>1.6894128819184544E-2</v>
      </c>
      <c r="E23" s="60">
        <f>Input!M23</f>
        <v>2.7197847131456858</v>
      </c>
      <c r="F23" s="61">
        <f>E23*Input!N23/100</f>
        <v>3.2301669840564882E-4</v>
      </c>
      <c r="G23" s="62">
        <f t="shared" si="27"/>
        <v>375.00391624852716</v>
      </c>
      <c r="H23" s="61">
        <f>G23*Input!L23/100</f>
        <v>2.6284280177379826E-2</v>
      </c>
      <c r="I23" s="59">
        <v>0</v>
      </c>
      <c r="J23" s="63">
        <f>(((C23*Constants!$B$26*0.000000001*Input!G23*(Constants!$B$4/Constants!$B$3))-(I23*0.000000000000001))/Input!F23)*1000000000000</f>
        <v>744.46618494294273</v>
      </c>
      <c r="K23" s="59">
        <f>J23*Input!P23/100</f>
        <v>6.128703450258846</v>
      </c>
      <c r="L23" s="64">
        <f>(J23/Constants!$B$4)*602200000000*Constants!$B$17/(365.2425*24*60)</f>
        <v>10.278182274990113</v>
      </c>
      <c r="M23" s="65">
        <f>L23*Input!P23/100</f>
        <v>8.4613555921212238E-2</v>
      </c>
      <c r="N23" s="59">
        <v>0</v>
      </c>
      <c r="O23" s="63">
        <f>(((G23*Constants!$B$23*0.000000001*Input!G23*(Constants!$B$7/Constants!$B$6))-(N23*0.000000001))/Input!F23)*1000000</f>
        <v>13.704087094236231</v>
      </c>
      <c r="P23" s="59">
        <f>O23*Input!N23/100</f>
        <v>1.6275732952126987E-3</v>
      </c>
      <c r="Q23" s="66">
        <f>(O23/Constants!$B$7)*602200000000000000*Constants!$B$18/(365.2425*24*60)</f>
        <v>10.224903856841992</v>
      </c>
      <c r="R23" s="67">
        <f>Q23*Input!N23/100</f>
        <v>1.2143662214838579E-3</v>
      </c>
      <c r="S23" s="65">
        <f>Input!S23*Constants!$B$17/Constants!$B$18</f>
        <v>0.99719051809108439</v>
      </c>
      <c r="T23" s="59">
        <f>S23*Input!T23/100</f>
        <v>2.643407368203165E-3</v>
      </c>
      <c r="U23" s="65">
        <f>S23</f>
        <v>0.99719051809108439</v>
      </c>
      <c r="V23" s="59">
        <f>U23*Input!T23/100</f>
        <v>2.643407368203165E-3</v>
      </c>
      <c r="W23" s="68">
        <v>0</v>
      </c>
      <c r="X23" s="63">
        <f>(((Constants!$B$29*0.000000001*Input!G23/Input!W23*(Constants!$B$11/Constants!$B$9))-(W23*0.000000001))/Input!F23)*1000000000</f>
        <v>0.87956379403929885</v>
      </c>
      <c r="Y23" s="63">
        <f>X23*Input!X23/100</f>
        <v>4.4294221222076673E-3</v>
      </c>
      <c r="Z23" s="63">
        <f>(X23/Constants!$B$11)*6.022E+23*0.000000001*Constants!$B$19/(365.2425*24*60)</f>
        <v>2.1472995730608557E-4</v>
      </c>
      <c r="AA23" s="63">
        <f>Z23*Input!X23/100</f>
        <v>1.0813651376261481E-6</v>
      </c>
      <c r="AB23" s="64">
        <v>0</v>
      </c>
      <c r="AC23" s="64">
        <v>0.9</v>
      </c>
      <c r="AD23" s="63">
        <f>(((Input!G23*Constants!$B$29*0.000000001*Input!U23*(Constants!$B$10/Constants!$B$9))-((AB23*0.000000000000001)+(Input!G23*AC23*0.000000000000001)))/Input!F23)*1000000000000</f>
        <v>224.3353641559371</v>
      </c>
      <c r="AE23" s="63">
        <f>AD23*Input!V23/100</f>
        <v>0.60142771093759739</v>
      </c>
      <c r="AF23" s="63">
        <f>(AD23/Constants!$B$10)*602200000000*Constants!$B$16/(365.2425*24*60)</f>
        <v>10.239937657097348</v>
      </c>
      <c r="AG23" s="63">
        <f>AF23*Input!V23/100</f>
        <v>2.7452569898747163E-2</v>
      </c>
      <c r="AH23" s="59">
        <f t="shared" si="28"/>
        <v>47687.513123755198</v>
      </c>
      <c r="AI23" s="68">
        <f t="shared" si="29"/>
        <v>272.06129024299122</v>
      </c>
      <c r="AJ23" s="65">
        <f t="shared" si="0"/>
        <v>-2.809481908915612</v>
      </c>
      <c r="AK23" s="68">
        <f t="shared" si="30"/>
        <v>2.6434073682031651</v>
      </c>
      <c r="AL23" s="68">
        <f t="shared" si="31"/>
        <v>1.0014703121384654</v>
      </c>
      <c r="AM23" s="68">
        <f t="shared" si="32"/>
        <v>2.687506396565586E-3</v>
      </c>
      <c r="AN23" s="59">
        <f>AF23/Q23</f>
        <v>1.0014703121384654</v>
      </c>
      <c r="AO23" s="63">
        <f t="shared" si="33"/>
        <v>2.687506396565586E-3</v>
      </c>
      <c r="AP23" s="59" t="str">
        <f t="shared" si="1"/>
        <v>Out of range</v>
      </c>
      <c r="AQ23" s="59" t="e">
        <f t="shared" si="2"/>
        <v>#VALUE!</v>
      </c>
      <c r="AR23" s="59" t="e">
        <f>(AQ23/AP23)*100</f>
        <v>#VALUE!</v>
      </c>
      <c r="AS23" s="67">
        <f>Z23/Q23</f>
        <v>2.1000682286357056E-5</v>
      </c>
      <c r="AT23" s="67">
        <f>AS23*SQRT((Y23/X23)^2+(P23/O23)^2)</f>
        <v>1.0578738264946884E-7</v>
      </c>
      <c r="AU23" s="59">
        <v>0.75</v>
      </c>
      <c r="AV23" s="59">
        <f>AU23/2</f>
        <v>0.375</v>
      </c>
      <c r="AW23" s="69">
        <f t="shared" si="3"/>
        <v>0.99719047383960968</v>
      </c>
      <c r="AX23" s="69">
        <f t="shared" si="4"/>
        <v>2.6434724027045841E-3</v>
      </c>
      <c r="AY23" s="148">
        <f t="shared" si="5"/>
        <v>2.6509202324467513E-3</v>
      </c>
      <c r="AZ23" s="69">
        <f t="shared" si="6"/>
        <v>1.0014703352969987</v>
      </c>
      <c r="BA23" s="69">
        <f t="shared" si="7"/>
        <v>2.6875718404255379E-3</v>
      </c>
      <c r="BB23" s="148">
        <f t="shared" si="8"/>
        <v>2.6836260103785346E-3</v>
      </c>
      <c r="BC23" s="59" t="str">
        <f t="shared" si="9"/>
        <v>Out of range</v>
      </c>
      <c r="BD23" s="59" t="e">
        <f t="shared" si="10"/>
        <v>#VALUE!</v>
      </c>
      <c r="BE23" s="148" t="e">
        <f t="shared" si="11"/>
        <v>#VALUE!</v>
      </c>
      <c r="BF23" s="59"/>
      <c r="BG23" s="59"/>
      <c r="BH23" s="59" t="str">
        <f t="shared" si="12"/>
        <v>Out of range</v>
      </c>
      <c r="BI23" s="69">
        <f t="shared" si="13"/>
        <v>203.5528295391</v>
      </c>
      <c r="BJ23" s="69" t="e">
        <f t="shared" si="14"/>
        <v>#VALUE!</v>
      </c>
      <c r="BK23" s="148" t="e">
        <f>BJ23/BH23</f>
        <v>#VALUE!</v>
      </c>
      <c r="BL23" s="59" t="str">
        <f>Input!B23</f>
        <v>Hu1-13</v>
      </c>
      <c r="BM23" s="70">
        <f>Input!E23</f>
        <v>0</v>
      </c>
      <c r="BN23" s="59" t="e">
        <f>((U23-1)*EXP(Constants!$B$17*BH23*1000))*1000</f>
        <v>#VALUE!</v>
      </c>
      <c r="BO23" s="65" t="e">
        <f t="shared" si="15"/>
        <v>#VALUE!</v>
      </c>
      <c r="BP23" s="59" t="e">
        <f>BH23*1000-58</f>
        <v>#VALUE!</v>
      </c>
      <c r="BQ23" s="71" t="e">
        <f>BJ23/2*1000</f>
        <v>#VALUE!</v>
      </c>
      <c r="BR23" s="72" t="e">
        <f>BJ23/BH23*100</f>
        <v>#VALUE!</v>
      </c>
      <c r="BS23" s="73"/>
      <c r="BT23" s="87"/>
      <c r="BU23" s="87"/>
      <c r="BV23" s="87"/>
      <c r="BW23" s="87"/>
      <c r="BX23" s="87"/>
      <c r="BY23" s="88"/>
      <c r="BZ23" s="87"/>
      <c r="CA23" s="87"/>
      <c r="CB23" s="87"/>
      <c r="CC23" s="87"/>
      <c r="CD23" s="87"/>
      <c r="CE23" s="87"/>
      <c r="CF23" s="87"/>
      <c r="CG23" s="87"/>
      <c r="CH23" s="87"/>
      <c r="CI23" s="87"/>
      <c r="CJ23" s="87"/>
      <c r="CK23" s="87"/>
      <c r="CL23" s="87"/>
      <c r="CM23" s="87"/>
      <c r="CN23" s="87"/>
      <c r="CO23" s="87"/>
      <c r="CP23" s="87"/>
      <c r="CQ23" s="87"/>
      <c r="CR23" s="87"/>
      <c r="CS23" s="87"/>
      <c r="CT23" s="87"/>
      <c r="CU23" s="87"/>
      <c r="CV23" s="87"/>
      <c r="CW23" s="87"/>
      <c r="CX23" s="87"/>
      <c r="CY23" s="87"/>
      <c r="CZ23" s="87"/>
      <c r="DA23" s="87"/>
      <c r="DB23" s="87"/>
      <c r="DC23" s="87"/>
      <c r="DD23" s="87"/>
      <c r="DE23" s="87"/>
      <c r="DF23" s="87"/>
      <c r="DG23" s="87"/>
      <c r="DH23" s="87"/>
      <c r="DI23" s="87"/>
      <c r="DJ23" s="87"/>
      <c r="DK23" s="87"/>
      <c r="DL23" s="87"/>
      <c r="DM23" s="87"/>
      <c r="DN23" s="87"/>
      <c r="DO23" s="87"/>
      <c r="DP23" s="87"/>
      <c r="DQ23" s="87"/>
    </row>
    <row r="24" spans="1:121" ht="15" x14ac:dyDescent="0.25">
      <c r="AC24" s="81">
        <v>0.9</v>
      </c>
    </row>
    <row r="25" spans="1:121" ht="15" customHeight="1" x14ac:dyDescent="0.25">
      <c r="A25" s="59">
        <f>Input!A25</f>
        <v>10368</v>
      </c>
      <c r="B25" s="59" t="str">
        <f>Input!B25</f>
        <v>Hu1-13</v>
      </c>
      <c r="C25" s="59">
        <f>Input!O25</f>
        <v>2.30793595811839</v>
      </c>
      <c r="D25" s="59">
        <f>C25*Input!P25/100</f>
        <v>2.231822214364038E-2</v>
      </c>
      <c r="E25" s="60">
        <f>Input!M25</f>
        <v>3.0138451218201001</v>
      </c>
      <c r="F25" s="61">
        <f>E25*Input!N25/100</f>
        <v>4.6482396910553893E-4</v>
      </c>
      <c r="G25" s="62">
        <f t="shared" ref="G25:G27" si="34">E25*137.88</f>
        <v>415.54896539655539</v>
      </c>
      <c r="H25" s="61">
        <f>G25*Input!L25/100</f>
        <v>2.1327127361723933E-2</v>
      </c>
      <c r="I25" s="59">
        <v>0</v>
      </c>
      <c r="J25" s="63">
        <f>(((C25*Constants!$B$26*0.000000001*Input!G25*(Constants!$B$4/Constants!$B$3))-(I25*0.000000000000001))/Input!F25)*1000000000000</f>
        <v>756.0346802675316</v>
      </c>
      <c r="K25" s="59">
        <f>J25*Input!P25/100</f>
        <v>7.3110130647920464</v>
      </c>
      <c r="L25" s="64">
        <f>(J25/Constants!$B$4)*602200000000*Constants!$B$17/(365.2425*24*60)</f>
        <v>10.437898197618093</v>
      </c>
      <c r="M25" s="65">
        <f>L25*Input!P25/100</f>
        <v>0.10093665288575318</v>
      </c>
      <c r="N25" s="59">
        <v>0</v>
      </c>
      <c r="O25" s="63">
        <f>(((G25*Constants!$B$23*0.000000001*Input!G25*(Constants!$B$7/Constants!$B$6))-(N25*0.000000001))/Input!F25)*1000000</f>
        <v>13.712658800281172</v>
      </c>
      <c r="P25" s="59">
        <f>O25*Input!N25/100</f>
        <v>2.1148971605705362E-3</v>
      </c>
      <c r="Q25" s="66">
        <f>(O25/Constants!$B$7)*602200000000000000*Constants!$B$18/(365.2425*24*60)</f>
        <v>10.231299384657598</v>
      </c>
      <c r="R25" s="67">
        <f>Q25*Input!N25/100</f>
        <v>1.5779686735234563E-3</v>
      </c>
      <c r="S25" s="65">
        <f>Input!S25*Constants!$B$17/Constants!$B$18</f>
        <v>0.99797398589529263</v>
      </c>
      <c r="T25" s="59">
        <f>S25*Input!T25/100</f>
        <v>1.5594246912830501E-3</v>
      </c>
      <c r="U25" s="65">
        <f>S25</f>
        <v>0.99797398589529263</v>
      </c>
      <c r="V25" s="59">
        <f>U25*Input!T25/100</f>
        <v>1.5594246912830501E-3</v>
      </c>
      <c r="W25" s="68">
        <v>0</v>
      </c>
      <c r="X25" s="63">
        <f>(((Constants!$B$29*0.000000001*Input!G25/Input!W25*(Constants!$B$11/Constants!$B$9))-(W25*0.000000001))/Input!F25)*1000000000</f>
        <v>0.77467484894989536</v>
      </c>
      <c r="Y25" s="63">
        <f>X25*Input!X25/100</f>
        <v>4.0759392793403657E-3</v>
      </c>
      <c r="Z25" s="63">
        <f>(X25/Constants!$B$11)*6.022E+23*0.000000001*Constants!$B$19/(365.2425*24*60)</f>
        <v>1.8912317488329561E-4</v>
      </c>
      <c r="AA25" s="63">
        <f>Z25*Input!X25/100</f>
        <v>9.9506854803058091E-7</v>
      </c>
      <c r="AB25" s="64">
        <v>0</v>
      </c>
      <c r="AC25" s="64">
        <v>0.9</v>
      </c>
      <c r="AD25" s="63">
        <f>(((Input!G25*Constants!$B$29*0.000000001*Input!U25*(Constants!$B$10/Constants!$B$9))-((AB25*0.000000000000001)+(Input!G25*AC25*0.000000000000001)))/Input!F25)*1000000000000</f>
        <v>223.83888925241195</v>
      </c>
      <c r="AE25" s="63">
        <f>AD25*Input!V25/100</f>
        <v>0.49978704454808559</v>
      </c>
      <c r="AF25" s="63">
        <f>(AD25/Constants!$B$10)*602200000000*Constants!$B$16/(365.2425*24*60)</f>
        <v>10.217275728250156</v>
      </c>
      <c r="AG25" s="63">
        <f>AF25*Input!V25/100</f>
        <v>2.2813113738233089E-2</v>
      </c>
      <c r="AH25" s="59">
        <f t="shared" ref="AH25:AH27" si="35">AF25/Z25</f>
        <v>54024.45117873601</v>
      </c>
      <c r="AI25" s="68">
        <f t="shared" ref="AI25:AI27" si="36">AH25*SQRT((AG25/AF25)^2+(AA25/Z25)^2)</f>
        <v>308.7845976683584</v>
      </c>
      <c r="AJ25" s="65">
        <f t="shared" ref="AJ25:AJ31" si="37">(U25-1)*1000</f>
        <v>-2.0260141047073743</v>
      </c>
      <c r="AK25" s="68">
        <f t="shared" ref="AK25:AK27" si="38">V25*1000</f>
        <v>1.5594246912830501</v>
      </c>
      <c r="AL25" s="68">
        <f t="shared" ref="AL25:AL27" si="39">AF25/Q25</f>
        <v>0.99862933769404971</v>
      </c>
      <c r="AM25" s="68">
        <f t="shared" ref="AM25:AM27" si="40">AL25*SQRT((R25/Q25)^2+(AG25/AF25)^2)</f>
        <v>2.2350507166061517E-3</v>
      </c>
      <c r="AN25" s="59">
        <f>AF25/Q25</f>
        <v>0.99862933769404971</v>
      </c>
      <c r="AO25" s="63">
        <f t="shared" ref="AO25:AO27" si="41">AN25*SQRT((R25/Q25)^2+(AG25/AF25)^2)</f>
        <v>2.2350507166061517E-3</v>
      </c>
      <c r="AP25" s="59" t="str">
        <f t="shared" ref="AP25:AP31" si="42">ThU_Alter_Kombi(AN25,U25)</f>
        <v>Out of range</v>
      </c>
      <c r="AQ25" s="59" t="e">
        <f t="shared" ref="AQ25:AQ31" si="43">Montealter(AN25,AO25,U25,V25)</f>
        <v>#VALUE!</v>
      </c>
      <c r="AR25" s="59" t="e">
        <f>(AQ25/AP25)*100</f>
        <v>#VALUE!</v>
      </c>
      <c r="AS25" s="67">
        <f>Z25/Q25</f>
        <v>1.8484765988462456E-5</v>
      </c>
      <c r="AT25" s="67">
        <f>AS25*SQRT((Y25/X25)^2+(P25/O25)^2)</f>
        <v>9.7299074562973031E-8</v>
      </c>
      <c r="AU25" s="59">
        <v>0.75</v>
      </c>
      <c r="AV25" s="59">
        <f t="shared" ref="AV25" si="44">AU25/2</f>
        <v>0.375</v>
      </c>
      <c r="AW25" s="69">
        <f t="shared" ref="AW25:AW31" si="45">IF(X25="n.d.", U25, (U25-AS25*AU25)/(1-AS25*AU25))</f>
        <v>0.99797395780710574</v>
      </c>
      <c r="AX25" s="69">
        <f t="shared" ref="AX25:AX31" si="46">AW25*AY25</f>
        <v>1.5594770643867642E-3</v>
      </c>
      <c r="AY25" s="148">
        <f t="shared" ref="AY25:AY31" si="47">IF(X25="n.d.","n.d.",SQRT(((SQRT(V25^2+((AS25*AU25)*SQRT((AV25/AU25)^2+(AT25/AS25)^2))^2))/(U25-AS25*AU25))^2+(((AS25*AU25)*SQRT((AV25/AU25)^2+(AT25/AS25)^2))/(1-AS25*AU25))^2))</f>
        <v>1.5626430451286277E-3</v>
      </c>
      <c r="AZ25" s="69">
        <f t="shared" ref="AZ25:AZ31" si="48">IF(X25="n.d.", AN25, (AN25-AS25*AU25)/(1-AS25*AU25))</f>
        <v>0.99862931869150728</v>
      </c>
      <c r="BA25" s="69">
        <f t="shared" ref="BA25:BA31" si="49">AZ25*BB25</f>
        <v>2.2351031742025847E-3</v>
      </c>
      <c r="BB25" s="148">
        <f t="shared" ref="BB25:BB31" si="50">IF(X25="n.d.","n.d.",SQRT(((SQRT(AO25^2+((AS25*AU25)*SQRT((AV25/AU25)^2+(AT25/AS25)^2))^2))/(AN25-AS25*AU25))^2+(((AS25*AU25)*SQRT((AV25/AU25)^2+(AT25/AS25)^2))/(1-AS25*AU25))^2))</f>
        <v>2.2381709933483778E-3</v>
      </c>
      <c r="BC25" s="59" t="str">
        <f t="shared" ref="BC25:BC31" si="51">ThU_Alter_Kombi(AZ25,AW25)</f>
        <v>Out of range</v>
      </c>
      <c r="BD25" s="59" t="e">
        <f t="shared" ref="BD25:BD31" si="52">Montealter(AZ25,BA25,AW25,AX25)</f>
        <v>#VALUE!</v>
      </c>
      <c r="BE25" s="148" t="e">
        <f t="shared" ref="BE25:BE31" si="53">(BD25/BC25)</f>
        <v>#VALUE!</v>
      </c>
      <c r="BF25" s="59"/>
      <c r="BG25" s="59"/>
      <c r="BH25" s="59" t="str">
        <f t="shared" ref="BH25:BH31" si="54">marincorr_age(AN25,U25,AS25,AU25)</f>
        <v>Out of range</v>
      </c>
      <c r="BI25" s="69">
        <f t="shared" ref="BI25:BI31" si="55">marincorr_age_error(AN25, AO25, U25, V25, AS25, AT25, AU25, AV25)</f>
        <v>330.69236432819997</v>
      </c>
      <c r="BJ25" s="69" t="e">
        <f t="shared" ref="BJ25:BJ31" si="56">SQRT(((AU25*EXP(-0.0000091577*BH25*1000))/(0.0000091577*(EXP(-0.0000091577*BH25*1000)+(AJ25/1000)*EXP(-(0.0000091577-0.0000028263)*BH25*1000)-AS25*AU25*EXP(-0.0000091577*BH25*1000))))^2*AT25^2+((AS25*EXP(-0.0000091577*BH25*1000))/(0.0000091577*(EXP(-0.0000091577*BH25*1000)+(AJ25/1000)*EXP(-(0.0000091577-0.0000028263)*BH25*1000)-AS25*AU25*EXP(-0.0000091577*BH25*1000))))^2*AV25^2+((0.0000091577/(0.0000091577-0.0000028263))*(EXP(-(0.0000091577-0.0000028263)*BH25*1000)-1)/(0.0000091577*(EXP(-0.0000091577*BH25*1000)+(AJ25/1000)*EXP(-(0.0000091577-0.0000028263)*BH25*1000)-AS25*AU25*EXP(-0.0000091577*BH25*1000))))^2*T25^2+(1/(0.0000091577*(EXP(-0.0000091577*BH25*1000)+(AJ25/1000)*EXP(-(0.0000091577-0.0000028263)*BH25*1000)-AS25*AU25*EXP(-0.0000091577*BH25*1000))))^2*AO25^2)/1000</f>
        <v>#VALUE!</v>
      </c>
      <c r="BK25" s="148" t="e">
        <f>BJ25/BH25</f>
        <v>#VALUE!</v>
      </c>
      <c r="BL25" s="59" t="str">
        <f>Input!B25</f>
        <v>Hu1-13</v>
      </c>
      <c r="BM25" s="70">
        <f>Input!E25</f>
        <v>0</v>
      </c>
      <c r="BN25" s="59" t="e">
        <f>((U25-1)*EXP(Constants!$B$17*BH25*1000))*1000</f>
        <v>#VALUE!</v>
      </c>
      <c r="BO25" s="65" t="e">
        <f t="shared" ref="BO25:BO31" si="57">SQRT((EXP(0.0000028263*BH25*1000)*V25)^2+((U25-1)*0.0000028263*EXP(0.0000028263*BH25*1000)*BJ25*1000)^2)*1000</f>
        <v>#VALUE!</v>
      </c>
      <c r="BP25" s="59" t="e">
        <f t="shared" ref="BP25:BP26" si="58">BH25*1000-58</f>
        <v>#VALUE!</v>
      </c>
      <c r="BQ25" s="71" t="e">
        <f t="shared" ref="BQ25:BQ26" si="59">BJ25/2*1000</f>
        <v>#VALUE!</v>
      </c>
      <c r="BR25" s="72" t="e">
        <f t="shared" ref="BR25:BR26" si="60">BJ25/BH25*100</f>
        <v>#VALUE!</v>
      </c>
      <c r="BS25" s="73"/>
      <c r="BT25" s="87"/>
      <c r="BU25" s="87"/>
      <c r="BV25" s="87"/>
      <c r="BW25" s="87"/>
      <c r="BX25" s="87"/>
      <c r="BY25" s="88"/>
      <c r="BZ25" s="87"/>
      <c r="CA25" s="87"/>
      <c r="CB25" s="87"/>
      <c r="CC25" s="87"/>
      <c r="CD25" s="87"/>
      <c r="CE25" s="87"/>
      <c r="CF25" s="87"/>
      <c r="CG25" s="87"/>
      <c r="CH25" s="87"/>
      <c r="CI25" s="87"/>
      <c r="CJ25" s="87"/>
      <c r="CK25" s="87"/>
      <c r="CL25" s="87"/>
      <c r="CM25" s="87"/>
      <c r="CN25" s="87"/>
      <c r="CO25" s="87"/>
      <c r="CP25" s="87"/>
      <c r="CQ25" s="87"/>
      <c r="CR25" s="87"/>
      <c r="CS25" s="87"/>
      <c r="CT25" s="87"/>
      <c r="CU25" s="87"/>
      <c r="CV25" s="87"/>
      <c r="CW25" s="87"/>
      <c r="CX25" s="87"/>
      <c r="CY25" s="87"/>
      <c r="CZ25" s="87"/>
      <c r="DA25" s="87"/>
      <c r="DB25" s="87"/>
      <c r="DC25" s="87"/>
      <c r="DD25" s="87"/>
      <c r="DE25" s="87"/>
      <c r="DF25" s="87"/>
      <c r="DG25" s="87"/>
      <c r="DH25" s="87"/>
      <c r="DI25" s="87"/>
      <c r="DJ25" s="87"/>
      <c r="DK25" s="87"/>
      <c r="DL25" s="87"/>
      <c r="DM25" s="87"/>
      <c r="DN25" s="87"/>
      <c r="DO25" s="87"/>
      <c r="DP25" s="87"/>
      <c r="DQ25" s="87"/>
    </row>
    <row r="26" spans="1:121" ht="15" customHeight="1" x14ac:dyDescent="0.25">
      <c r="A26" s="58" t="str">
        <f>Input!A26</f>
        <v>9368b</v>
      </c>
      <c r="B26" s="58" t="str">
        <f>Input!B26</f>
        <v>LM-AJ15</v>
      </c>
      <c r="C26" s="58">
        <f>Input!O26</f>
        <v>2.3428874156421777</v>
      </c>
      <c r="D26" s="58">
        <f>C26*Input!P26/100</f>
        <v>1.9479871126812928E-2</v>
      </c>
      <c r="E26" s="77">
        <f>Input!M26</f>
        <v>2.6585077870655516</v>
      </c>
      <c r="F26" s="78">
        <f>E26*Input!N26/100</f>
        <v>4.484897263142628E-4</v>
      </c>
      <c r="G26" s="79">
        <f t="shared" si="34"/>
        <v>366.55505368059823</v>
      </c>
      <c r="H26" s="78">
        <f>G26*Input!L26/100</f>
        <v>2.7291003185800113E-2</v>
      </c>
      <c r="I26" s="58">
        <v>0.3</v>
      </c>
      <c r="J26" s="80">
        <f>(((C26*Constants!$B$26*0.000000001*Input!G26*(Constants!$B$4/Constants!$B$3))-(I26*0.000000000000001))/Input!F26)*1000000000000</f>
        <v>132.41483698557062</v>
      </c>
      <c r="K26" s="58">
        <f>J26*Input!P26/100</f>
        <v>1.1009594155209741</v>
      </c>
      <c r="L26" s="81">
        <f>(J26/Constants!$B$4)*602200000000*Constants!$B$17/(365.2425*24*60)</f>
        <v>1.8281338467443025</v>
      </c>
      <c r="M26" s="74">
        <f>L26*Input!P26/100</f>
        <v>1.5199967142843997E-2</v>
      </c>
      <c r="N26" s="58">
        <v>5.0000000000000001E-3</v>
      </c>
      <c r="O26" s="80">
        <f>(((G26*Constants!$B$23*0.000000001*Input!G26*(Constants!$B$7/Constants!$B$6))-(N26*0.000000001))/Input!F26)*1000000</f>
        <v>2.0869193919735638</v>
      </c>
      <c r="P26" s="58">
        <f>O26*Input!N26/100</f>
        <v>3.5206287959730286E-4</v>
      </c>
      <c r="Q26" s="82">
        <f>(O26/Constants!$B$7)*602200000000000000*Constants!$B$18/(365.2425*24*60)</f>
        <v>1.5570938795976836</v>
      </c>
      <c r="R26" s="75">
        <f>Q26*Input!N26/100</f>
        <v>2.6268142275302634E-4</v>
      </c>
      <c r="S26" s="74">
        <f>Input!S26*Constants!$B$17/Constants!$B$18</f>
        <v>1.1613868873694273</v>
      </c>
      <c r="T26" s="58">
        <f>S26*Input!T26/100</f>
        <v>2.155021293926215E-3</v>
      </c>
      <c r="U26" s="58">
        <f>S26*1/((U25+U27)/2)</f>
        <v>1.163912605757194</v>
      </c>
      <c r="V26" s="58">
        <f>U26*Input!T26/100</f>
        <v>2.1597079121128786E-3</v>
      </c>
      <c r="W26" s="83">
        <v>3.0000000000000001E-3</v>
      </c>
      <c r="X26" s="80">
        <f>IF((((Constants!$B$29*0.000000001*Input!G26/Input!W26*(Constants!$B$11/Constants!$B$9))-(W26*0.000000001))/Input!F26)*1000000000&lt;0, "n.d.", (((Constants!$B$29*0.000000001*Input!G26/Input!W26*(Constants!$B$11/Constants!$B$9))-(W26*0.000000001))/Input!F26)*1000000000)</f>
        <v>40.165046143247444</v>
      </c>
      <c r="Y26" s="80">
        <f>X26*Input!X26/100</f>
        <v>8.5723277327485997E-2</v>
      </c>
      <c r="Z26" s="80">
        <f>(X26/Constants!$B$11)*6.022E+23*0.000000001*Constants!$B$19/(365.2425*24*60)</f>
        <v>9.8055862485298406E-3</v>
      </c>
      <c r="AA26" s="80">
        <f>Z26*Input!X26/100</f>
        <v>2.0927823320392793E-5</v>
      </c>
      <c r="AB26" s="81">
        <v>0.05</v>
      </c>
      <c r="AC26" s="81">
        <v>0.9</v>
      </c>
      <c r="AD26" s="80">
        <f>(((Input!G26*Constants!$B$29*0.000000001*Input!U26*(Constants!$B$10/Constants!$B$9))-((AB26*0.000000000000001)+(Input!G26*AC26*0.000000000000001)))/Input!F26)*1000000000000</f>
        <v>39.924762983800704</v>
      </c>
      <c r="AE26" s="80">
        <f>AD26*Input!V26/100</f>
        <v>0.1094795385486404</v>
      </c>
      <c r="AF26" s="80">
        <f>(AD26/Constants!$B$10)*602200000000*Constants!$B$16/(365.2425*24*60)</f>
        <v>1.8223924946774266</v>
      </c>
      <c r="AG26" s="80">
        <f>AF26*Input!V26/100</f>
        <v>4.9972667202242997E-3</v>
      </c>
      <c r="AH26" s="58">
        <f t="shared" si="35"/>
        <v>185.85247719897006</v>
      </c>
      <c r="AI26" s="83">
        <f t="shared" si="36"/>
        <v>0.64580722675397628</v>
      </c>
      <c r="AJ26" s="74">
        <f t="shared" si="37"/>
        <v>163.91260575719403</v>
      </c>
      <c r="AK26" s="83">
        <f t="shared" si="38"/>
        <v>2.1597079121128786</v>
      </c>
      <c r="AL26" s="83">
        <f t="shared" si="39"/>
        <v>1.1703806164521626</v>
      </c>
      <c r="AM26" s="83">
        <f t="shared" si="40"/>
        <v>3.2154225189291491E-3</v>
      </c>
      <c r="AN26" s="58">
        <f>AL26*1/((AN25+AN27)/2)</f>
        <v>1.1713972975608378</v>
      </c>
      <c r="AO26" s="80">
        <f t="shared" si="41"/>
        <v>3.2182156780822062E-3</v>
      </c>
      <c r="AP26" s="58">
        <f t="shared" si="42"/>
        <v>351.23770000000002</v>
      </c>
      <c r="AQ26" s="58">
        <f t="shared" si="43"/>
        <v>8.1292000000000009</v>
      </c>
      <c r="AR26" s="144">
        <f>(AQ26/AP26)</f>
        <v>2.3144440360473834E-2</v>
      </c>
      <c r="AS26" s="75">
        <f>IF(X26="n.d.", "n.d.", Z26/Q26)</f>
        <v>6.2973635546389618E-3</v>
      </c>
      <c r="AT26" s="75">
        <f>IF(X26="n.d.", "n.d.", AS26*SQRT((Y26/X26)^2+(P26/O26)^2))</f>
        <v>1.348223018396497E-5</v>
      </c>
      <c r="AU26" s="58">
        <v>0.75</v>
      </c>
      <c r="AV26" s="58">
        <v>0.375</v>
      </c>
      <c r="AW26" s="76">
        <f t="shared" si="45"/>
        <v>1.1646904424497544</v>
      </c>
      <c r="AX26" s="76">
        <f t="shared" si="46"/>
        <v>4.2397612581544022E-3</v>
      </c>
      <c r="AY26" s="144">
        <f t="shared" si="47"/>
        <v>3.6402473169065337E-3</v>
      </c>
      <c r="AZ26" s="76">
        <f t="shared" si="48"/>
        <v>1.1722106523753297</v>
      </c>
      <c r="BA26" s="76">
        <f t="shared" si="49"/>
        <v>4.8807012556009617E-3</v>
      </c>
      <c r="BB26" s="144">
        <f t="shared" si="50"/>
        <v>4.1636724983780578E-3</v>
      </c>
      <c r="BC26" s="58">
        <f t="shared" si="51"/>
        <v>350.87979999999999</v>
      </c>
      <c r="BD26" s="58">
        <f t="shared" si="52"/>
        <v>13.933</v>
      </c>
      <c r="BE26" s="144">
        <f t="shared" si="53"/>
        <v>3.970875496395062E-2</v>
      </c>
      <c r="BF26" s="144"/>
      <c r="BG26" s="144"/>
      <c r="BH26" s="58">
        <f t="shared" si="54"/>
        <v>350.87979999999999</v>
      </c>
      <c r="BI26" s="76">
        <f t="shared" si="55"/>
        <v>8.0042287503999994</v>
      </c>
      <c r="BJ26" s="76">
        <f t="shared" si="56"/>
        <v>8.033661230775575</v>
      </c>
      <c r="BK26" s="144">
        <f>BJ26/BH26</f>
        <v>2.2895764392180957E-2</v>
      </c>
      <c r="BL26" s="58" t="str">
        <f>Input!B26</f>
        <v>LM-AJ15</v>
      </c>
      <c r="BM26" s="84">
        <f>Input!E26</f>
        <v>0</v>
      </c>
      <c r="BN26" s="58">
        <f>((U26-1)*EXP(Constants!$B$17*BH26*1000))*1000</f>
        <v>441.21718731216305</v>
      </c>
      <c r="BO26" s="74">
        <f t="shared" si="57"/>
        <v>11.599911365205813</v>
      </c>
      <c r="BP26" s="58">
        <f t="shared" si="58"/>
        <v>350821.8</v>
      </c>
      <c r="BQ26" s="85">
        <f t="shared" si="59"/>
        <v>4016.8306153877875</v>
      </c>
      <c r="BR26" s="86">
        <f t="shared" si="60"/>
        <v>2.2895764392180955</v>
      </c>
      <c r="BS26" s="87"/>
      <c r="BT26" s="87"/>
      <c r="BU26" s="87"/>
      <c r="BV26" s="87"/>
      <c r="BW26" s="87"/>
      <c r="BX26" s="87"/>
      <c r="BY26" s="88"/>
      <c r="BZ26" s="87"/>
      <c r="CA26" s="87"/>
      <c r="CB26" s="87"/>
      <c r="CC26" s="87"/>
      <c r="CD26" s="87"/>
      <c r="CE26" s="87"/>
      <c r="CF26" s="87"/>
      <c r="CG26" s="87"/>
      <c r="CH26" s="87"/>
      <c r="CI26" s="87"/>
      <c r="CJ26" s="87"/>
      <c r="CK26" s="87"/>
      <c r="CL26" s="87"/>
      <c r="CM26" s="87"/>
      <c r="CN26" s="87"/>
      <c r="CO26" s="87"/>
      <c r="CP26" s="87"/>
      <c r="CQ26" s="87"/>
      <c r="CR26" s="87"/>
      <c r="CS26" s="87"/>
      <c r="CT26" s="87"/>
      <c r="CU26" s="87"/>
      <c r="CV26" s="87"/>
      <c r="CW26" s="87"/>
      <c r="CX26" s="87"/>
      <c r="CY26" s="87"/>
      <c r="CZ26" s="87"/>
      <c r="DA26" s="87"/>
      <c r="DB26" s="87"/>
      <c r="DC26" s="87"/>
      <c r="DD26" s="87"/>
      <c r="DE26" s="87"/>
      <c r="DF26" s="87"/>
      <c r="DG26" s="87"/>
      <c r="DH26" s="87"/>
      <c r="DI26" s="87"/>
      <c r="DJ26" s="87"/>
      <c r="DK26" s="87"/>
      <c r="DL26" s="87"/>
      <c r="DM26" s="87"/>
      <c r="DN26" s="87"/>
      <c r="DO26" s="87"/>
      <c r="DP26" s="87"/>
      <c r="DQ26" s="87"/>
    </row>
    <row r="27" spans="1:121" ht="15" customHeight="1" x14ac:dyDescent="0.25">
      <c r="A27" s="59">
        <f>Input!A27</f>
        <v>10368</v>
      </c>
      <c r="B27" s="59" t="str">
        <f>Input!B27</f>
        <v>Hu1-13</v>
      </c>
      <c r="C27" s="59">
        <f>Input!O27</f>
        <v>2.2984615748425443</v>
      </c>
      <c r="D27" s="59">
        <f>C27*Input!P27/100</f>
        <v>1.7411821730192074E-2</v>
      </c>
      <c r="E27" s="60">
        <f>Input!M27</f>
        <v>3.0129671211489972</v>
      </c>
      <c r="F27" s="61">
        <f>E27*Input!N27/100</f>
        <v>2.6348585658874919E-4</v>
      </c>
      <c r="G27" s="62">
        <f t="shared" si="34"/>
        <v>415.42790666402374</v>
      </c>
      <c r="H27" s="61">
        <f>G27*Input!L27/100</f>
        <v>2.1872003273802156E-2</v>
      </c>
      <c r="I27" s="59">
        <v>0</v>
      </c>
      <c r="J27" s="63">
        <f>(((C27*Constants!$B$26*0.000000001*Input!G27*(Constants!$B$4/Constants!$B$3))-(I27*0.000000000000001))/Input!F27)*1000000000000</f>
        <v>752.93105761046036</v>
      </c>
      <c r="K27" s="59">
        <f>J27*Input!P27/100</f>
        <v>5.7037722508527926</v>
      </c>
      <c r="L27" s="64">
        <f>(J27/Constants!$B$4)*602200000000*Constants!$B$17/(365.2425*24*60)</f>
        <v>10.395049240838935</v>
      </c>
      <c r="M27" s="65">
        <f>L27*Input!P27/100</f>
        <v>7.8746908905995158E-2</v>
      </c>
      <c r="N27" s="59">
        <v>0</v>
      </c>
      <c r="O27" s="63">
        <f>(((G27*Constants!$B$23*0.000000001*Input!G27*(Constants!$B$7/Constants!$B$6))-(N27*0.000000001))/Input!F27)*1000000</f>
        <v>13.708663995258817</v>
      </c>
      <c r="P27" s="59">
        <f>O27*Input!N27/100</f>
        <v>1.1988312285666964E-3</v>
      </c>
      <c r="Q27" s="66">
        <f>(O27/Constants!$B$7)*602200000000000000*Constants!$B$18/(365.2425*24*60)</f>
        <v>10.228318777704393</v>
      </c>
      <c r="R27" s="67">
        <f>Q27*Input!N27/100</f>
        <v>8.9447286553146442E-4</v>
      </c>
      <c r="S27" s="65">
        <f>Input!S27*Constants!$B$17/Constants!$B$18</f>
        <v>0.99768596593395376</v>
      </c>
      <c r="T27" s="59">
        <f>S27*Input!T27/100</f>
        <v>1.6129674478519024E-3</v>
      </c>
      <c r="U27" s="65">
        <f>S27</f>
        <v>0.99768596593395376</v>
      </c>
      <c r="V27" s="59">
        <f>U27*Input!T27/100</f>
        <v>1.6129674478519024E-3</v>
      </c>
      <c r="W27" s="68">
        <v>0</v>
      </c>
      <c r="X27" s="63">
        <f>(((Constants!$B$29*0.000000001*Input!G27/Input!W27*(Constants!$B$11/Constants!$B$9))-(W27*0.000000001))/Input!F27)*1000000000</f>
        <v>0.77810824537599599</v>
      </c>
      <c r="Y27" s="63">
        <f>X27*Input!X27/100</f>
        <v>4.3653490773548622E-3</v>
      </c>
      <c r="Z27" s="63">
        <f>(X27/Constants!$B$11)*6.022E+23*0.000000001*Constants!$B$19/(365.2425*24*60)</f>
        <v>1.8996137794825542E-4</v>
      </c>
      <c r="AA27" s="63">
        <f>Z27*Input!X27/100</f>
        <v>1.0657228359773614E-6</v>
      </c>
      <c r="AB27" s="64">
        <v>0</v>
      </c>
      <c r="AC27" s="64">
        <v>0.9</v>
      </c>
      <c r="AD27" s="63">
        <f>(((Input!G27*Constants!$B$29*0.000000001*Input!U27*(Constants!$B$10/Constants!$B$9))-((AB27*0.000000000000001)+(Input!G27*AC27*0.000000000000001)))/Input!F27)*1000000000000</f>
        <v>223.9989890274536</v>
      </c>
      <c r="AE27" s="63">
        <f>AD27*Input!V27/100</f>
        <v>0.48565209782426194</v>
      </c>
      <c r="AF27" s="63">
        <f>(AD27/Constants!$B$10)*602200000000*Constants!$B$16/(365.2425*24*60)</f>
        <v>10.224583589502929</v>
      </c>
      <c r="AG27" s="63">
        <f>AF27*Input!V27/100</f>
        <v>2.2167914646315796E-2</v>
      </c>
      <c r="AH27" s="59">
        <f t="shared" si="35"/>
        <v>53824.538966484317</v>
      </c>
      <c r="AI27" s="68">
        <f t="shared" si="36"/>
        <v>323.73162119968089</v>
      </c>
      <c r="AJ27" s="65">
        <f t="shared" si="37"/>
        <v>-2.3140340660462444</v>
      </c>
      <c r="AK27" s="68">
        <f t="shared" si="38"/>
        <v>1.6129674478519023</v>
      </c>
      <c r="AL27" s="68">
        <f t="shared" si="39"/>
        <v>0.99963481894897466</v>
      </c>
      <c r="AM27" s="68">
        <f t="shared" si="40"/>
        <v>2.1690700653859618E-3</v>
      </c>
      <c r="AN27" s="59">
        <f>AF27/Q27</f>
        <v>0.99963481894897466</v>
      </c>
      <c r="AO27" s="63">
        <f t="shared" si="41"/>
        <v>2.1690700653859618E-3</v>
      </c>
      <c r="AP27" s="59" t="str">
        <f t="shared" si="42"/>
        <v>Out of range</v>
      </c>
      <c r="AQ27" s="59" t="e">
        <f t="shared" si="43"/>
        <v>#VALUE!</v>
      </c>
      <c r="AR27" s="59" t="e">
        <f>(AQ27/AP27)*100</f>
        <v>#VALUE!</v>
      </c>
      <c r="AS27" s="67">
        <f>Z27/Q27</f>
        <v>1.8572101835771066E-5</v>
      </c>
      <c r="AT27" s="67">
        <f>AS27*SQRT((Y27/X27)^2+(P27/O27)^2)</f>
        <v>1.0420601128738319E-7</v>
      </c>
      <c r="AU27" s="59">
        <v>0.75</v>
      </c>
      <c r="AV27" s="59">
        <f t="shared" ref="AV27" si="61">AU27/2</f>
        <v>0.375</v>
      </c>
      <c r="AW27" s="69">
        <f t="shared" si="45"/>
        <v>0.99768593370114755</v>
      </c>
      <c r="AX27" s="69">
        <f t="shared" si="46"/>
        <v>1.6130199214948251E-3</v>
      </c>
      <c r="AY27" s="148">
        <f t="shared" si="47"/>
        <v>1.6167612141337437E-3</v>
      </c>
      <c r="AZ27" s="69">
        <f t="shared" si="48"/>
        <v>0.99963481386226904</v>
      </c>
      <c r="BA27" s="69">
        <f t="shared" si="49"/>
        <v>2.1691226358176289E-3</v>
      </c>
      <c r="BB27" s="148">
        <f t="shared" si="50"/>
        <v>2.1699150587171259E-3</v>
      </c>
      <c r="BC27" s="59" t="str">
        <f t="shared" si="51"/>
        <v>Out of range</v>
      </c>
      <c r="BD27" s="59" t="e">
        <f t="shared" si="52"/>
        <v>#VALUE!</v>
      </c>
      <c r="BE27" s="148" t="e">
        <f t="shared" si="53"/>
        <v>#VALUE!</v>
      </c>
      <c r="BF27" s="59"/>
      <c r="BG27" s="59"/>
      <c r="BH27" s="59" t="str">
        <f t="shared" si="54"/>
        <v>Out of range</v>
      </c>
      <c r="BI27" s="69">
        <f t="shared" si="55"/>
        <v>256.76577148460001</v>
      </c>
      <c r="BJ27" s="69" t="e">
        <f t="shared" si="56"/>
        <v>#VALUE!</v>
      </c>
      <c r="BK27" s="148" t="e">
        <f>BJ27/BH27</f>
        <v>#VALUE!</v>
      </c>
      <c r="BL27" s="59" t="str">
        <f>Input!B27</f>
        <v>Hu1-13</v>
      </c>
      <c r="BM27" s="70">
        <f>Input!E27</f>
        <v>0</v>
      </c>
      <c r="BN27" s="59" t="e">
        <f>((U27-1)*EXP(Constants!$B$17*BH27*1000))*1000</f>
        <v>#VALUE!</v>
      </c>
      <c r="BO27" s="65" t="e">
        <f t="shared" si="57"/>
        <v>#VALUE!</v>
      </c>
      <c r="BP27" s="59" t="e">
        <f>BH27*1000-58</f>
        <v>#VALUE!</v>
      </c>
      <c r="BQ27" s="71" t="e">
        <f>BJ27/2*1000</f>
        <v>#VALUE!</v>
      </c>
      <c r="BR27" s="72" t="e">
        <f>BJ27/BH27*100</f>
        <v>#VALUE!</v>
      </c>
      <c r="BS27" s="73"/>
      <c r="BT27" s="87"/>
      <c r="BU27" s="87"/>
      <c r="BV27" s="87"/>
      <c r="BW27" s="87"/>
      <c r="BX27" s="87"/>
      <c r="BY27" s="88"/>
      <c r="BZ27" s="87"/>
      <c r="CA27" s="87"/>
      <c r="CB27" s="87"/>
      <c r="CC27" s="87"/>
      <c r="CD27" s="87"/>
      <c r="CE27" s="87"/>
      <c r="CF27" s="87"/>
      <c r="CG27" s="87"/>
      <c r="CH27" s="87"/>
      <c r="CI27" s="87"/>
      <c r="CJ27" s="87"/>
      <c r="CK27" s="87"/>
      <c r="CL27" s="87"/>
      <c r="CM27" s="87"/>
      <c r="CN27" s="87"/>
      <c r="CO27" s="87"/>
      <c r="CP27" s="87"/>
      <c r="CQ27" s="87"/>
      <c r="CR27" s="87"/>
      <c r="CS27" s="87"/>
      <c r="CT27" s="87"/>
      <c r="CU27" s="87"/>
      <c r="CV27" s="87"/>
      <c r="CW27" s="87"/>
      <c r="CX27" s="87"/>
      <c r="CY27" s="87"/>
      <c r="CZ27" s="87"/>
      <c r="DA27" s="87"/>
      <c r="DB27" s="87"/>
      <c r="DC27" s="87"/>
      <c r="DD27" s="87"/>
      <c r="DE27" s="87"/>
      <c r="DF27" s="87"/>
      <c r="DG27" s="87"/>
      <c r="DH27" s="87"/>
      <c r="DI27" s="87"/>
      <c r="DJ27" s="87"/>
      <c r="DK27" s="87"/>
      <c r="DL27" s="87"/>
      <c r="DM27" s="87"/>
      <c r="DN27" s="87"/>
      <c r="DO27" s="87"/>
      <c r="DP27" s="87"/>
      <c r="DQ27" s="87"/>
    </row>
    <row r="28" spans="1:121" ht="15" customHeight="1" x14ac:dyDescent="0.25">
      <c r="A28" s="58" t="str">
        <f>Input!A28</f>
        <v>9368c</v>
      </c>
      <c r="B28" s="58" t="str">
        <f>Input!B28</f>
        <v>LM-AJ15</v>
      </c>
      <c r="C28" s="58">
        <f>Input!O28</f>
        <v>2.3336256165899556</v>
      </c>
      <c r="D28" s="58">
        <f>C28*Input!P28/100</f>
        <v>2.2013237658975327E-2</v>
      </c>
      <c r="E28" s="77">
        <f>Input!M28</f>
        <v>2.6129927804078283</v>
      </c>
      <c r="F28" s="78">
        <f>E28*Input!N28/100</f>
        <v>3.0409026602162196E-4</v>
      </c>
      <c r="G28" s="79">
        <f>E28*137.88</f>
        <v>360.27944456263134</v>
      </c>
      <c r="H28" s="78">
        <f>G28*Input!L28/100</f>
        <v>2.4021079842640472E-2</v>
      </c>
      <c r="I28" s="58">
        <v>0.3</v>
      </c>
      <c r="J28" s="80">
        <f>(((C28*Constants!$B$26*0.000000001*Input!G28*(Constants!$B$4/Constants!$B$3))-(I28*0.000000000000001))/Input!F28)*1000000000000</f>
        <v>129.26820864494971</v>
      </c>
      <c r="K28" s="58">
        <f>J28*Input!P28/100</f>
        <v>1.2193951670831753</v>
      </c>
      <c r="L28" s="81">
        <f>(J28/Constants!$B$4)*602200000000*Constants!$B$17/(365.2425*24*60)</f>
        <v>1.7846911487538897</v>
      </c>
      <c r="M28" s="74">
        <f>L28*Input!P28/100</f>
        <v>1.68351041941327E-2</v>
      </c>
      <c r="N28" s="58">
        <v>5.0000000000000001E-3</v>
      </c>
      <c r="O28" s="80">
        <f>(((G28*Constants!$B$23*0.000000001*Input!G28*(Constants!$B$7/Constants!$B$6))-(N28*0.000000001))/Input!F28)*1000000</f>
        <v>2.0103940788942354</v>
      </c>
      <c r="P28" s="58">
        <f>O28*Input!N28/100</f>
        <v>2.339620969652374E-4</v>
      </c>
      <c r="Q28" s="82">
        <f>(O28/Constants!$B$7)*602200000000000000*Constants!$B$18/(365.2425*24*60)</f>
        <v>1.4999967549610518</v>
      </c>
      <c r="R28" s="75">
        <f>Q28*Input!N28/100</f>
        <v>1.7456397724010693E-4</v>
      </c>
      <c r="S28" s="74">
        <f>Input!S28*Constants!$B$17/Constants!$B$18</f>
        <v>1.1631913346827807</v>
      </c>
      <c r="T28" s="58">
        <f>S28*Input!T28/100</f>
        <v>2.3014630689308147E-3</v>
      </c>
      <c r="U28" s="58">
        <f>S28*1/((U27+U29)/2)</f>
        <v>1.1657051947215304</v>
      </c>
      <c r="V28" s="58">
        <f>U28*Input!T28/100</f>
        <v>2.3064369333907157E-3</v>
      </c>
      <c r="W28" s="83">
        <v>3.0000000000000001E-3</v>
      </c>
      <c r="X28" s="80">
        <f>IF((((Constants!$B$29*0.000000001*Input!G28/Input!W28*(Constants!$B$11/Constants!$B$9))-(W28*0.000000001))/Input!F28)*1000000000&lt;0, "n.d.", (((Constants!$B$29*0.000000001*Input!G28/Input!W28*(Constants!$B$11/Constants!$B$9))-(W28*0.000000001))/Input!F28)*1000000000)</f>
        <v>27.806511582248742</v>
      </c>
      <c r="Y28" s="80">
        <f>X28*Input!X28/100</f>
        <v>6.6969946414253523E-2</v>
      </c>
      <c r="Z28" s="80">
        <f>(X28/Constants!$B$11)*6.022E+23*0.000000001*Constants!$B$19/(365.2425*24*60)</f>
        <v>6.788468426453519E-3</v>
      </c>
      <c r="AA28" s="80">
        <f>Z28*Input!X28/100</f>
        <v>1.6349528973086605E-5</v>
      </c>
      <c r="AB28" s="81">
        <v>0.05</v>
      </c>
      <c r="AC28" s="81">
        <v>0.9</v>
      </c>
      <c r="AD28" s="80">
        <f>(((Input!G28*Constants!$B$29*0.000000001*Input!U28*(Constants!$B$10/Constants!$B$9))-((AB28*0.000000000000001)+(Input!G28*AC28*0.000000000000001)))/Input!F28)*1000000000000</f>
        <v>39.501993693194827</v>
      </c>
      <c r="AE28" s="80">
        <f>AD28*Input!V28/100</f>
        <v>0.10017639082152968</v>
      </c>
      <c r="AF28" s="80">
        <f>(AD28/Constants!$B$10)*602200000000*Constants!$B$16/(365.2425*24*60)</f>
        <v>1.8030949078015106</v>
      </c>
      <c r="AG28" s="80">
        <f>AF28*Input!V28/100</f>
        <v>4.5726183233974751E-3</v>
      </c>
      <c r="AH28" s="58">
        <f>AF28/Z28</f>
        <v>265.61144495791615</v>
      </c>
      <c r="AI28" s="83">
        <f>AH28*SQRT((AG28/AF28)^2+(AA28/Z28)^2)</f>
        <v>0.92894655349733157</v>
      </c>
      <c r="AJ28" s="74">
        <f t="shared" si="37"/>
        <v>165.70519472153046</v>
      </c>
      <c r="AK28" s="83">
        <f>V28*1000</f>
        <v>2.3064369333907155</v>
      </c>
      <c r="AL28" s="83">
        <f>AF28/Q28</f>
        <v>1.2020658723680564</v>
      </c>
      <c r="AM28" s="83">
        <f>AL28*SQRT((R28/Q28)^2+(AG28/AF28)^2)</f>
        <v>3.051626941172475E-3</v>
      </c>
      <c r="AN28" s="58">
        <f>AL28*1/((AN27+AN29)/2)</f>
        <v>1.2015100117306392</v>
      </c>
      <c r="AO28" s="80">
        <f>AN28*SQRT((R28/Q28)^2+(AG28/AF28)^2)</f>
        <v>3.0502158044488793E-3</v>
      </c>
      <c r="AP28" s="58">
        <f t="shared" si="42"/>
        <v>420.08969999999999</v>
      </c>
      <c r="AQ28" s="58">
        <f t="shared" si="43"/>
        <v>14.565300000000001</v>
      </c>
      <c r="AR28" s="144">
        <f>(AQ28/AP28)</f>
        <v>3.4671880791173885E-2</v>
      </c>
      <c r="AS28" s="75">
        <f>IF(X28="n.d.", "n.d.", Z28/Q28)</f>
        <v>4.5256554082543903E-3</v>
      </c>
      <c r="AT28" s="75">
        <f>IF(X28="n.d.", "n.d.", AS28*SQRT((Y28/X28)^2+(P28/O28)^2))</f>
        <v>1.0912426817022807E-5</v>
      </c>
      <c r="AU28" s="58">
        <v>0.75</v>
      </c>
      <c r="AV28" s="58">
        <v>0.375</v>
      </c>
      <c r="AW28" s="76">
        <f t="shared" si="45"/>
        <v>1.1662695537503995</v>
      </c>
      <c r="AX28" s="76">
        <f t="shared" si="46"/>
        <v>3.4928984013213623E-3</v>
      </c>
      <c r="AY28" s="144">
        <f t="shared" si="47"/>
        <v>2.9949323379738152E-3</v>
      </c>
      <c r="AZ28" s="76">
        <f t="shared" si="48"/>
        <v>1.202196314865063</v>
      </c>
      <c r="BA28" s="76">
        <f t="shared" si="49"/>
        <v>4.0569013680039857E-3</v>
      </c>
      <c r="BB28" s="144">
        <f t="shared" si="50"/>
        <v>3.3745747827045544E-3</v>
      </c>
      <c r="BC28" s="58">
        <f t="shared" si="51"/>
        <v>419.84989999999999</v>
      </c>
      <c r="BD28" s="58">
        <f t="shared" si="52"/>
        <v>21.608599999999999</v>
      </c>
      <c r="BE28" s="144">
        <f t="shared" si="53"/>
        <v>5.1467441102165321E-2</v>
      </c>
      <c r="BF28" s="144"/>
      <c r="BG28" s="144"/>
      <c r="BH28" s="58">
        <f t="shared" si="54"/>
        <v>419.84949999999998</v>
      </c>
      <c r="BI28" s="76">
        <f t="shared" si="55"/>
        <v>14.754278358500001</v>
      </c>
      <c r="BJ28" s="76">
        <f t="shared" si="56"/>
        <v>14.412372284655694</v>
      </c>
      <c r="BK28" s="144">
        <f>BJ28/BH28</f>
        <v>3.4327472784070709E-2</v>
      </c>
      <c r="BL28" s="58" t="str">
        <f>Input!B28</f>
        <v>LM-AJ15</v>
      </c>
      <c r="BM28" s="84">
        <f>Input!E28</f>
        <v>0</v>
      </c>
      <c r="BN28" s="58">
        <f>((U28-1)*EXP(Constants!$B$17*BH28*1000))*1000</f>
        <v>541.883348481231</v>
      </c>
      <c r="BO28" s="74">
        <f t="shared" si="57"/>
        <v>23.367543814169935</v>
      </c>
      <c r="BP28" s="58">
        <f>BH28*1000-58</f>
        <v>419791.5</v>
      </c>
      <c r="BQ28" s="85">
        <f>BJ28/2*1000</f>
        <v>7206.1861423278469</v>
      </c>
      <c r="BR28" s="86">
        <f>BJ28/BH28*100</f>
        <v>3.4327472784070707</v>
      </c>
      <c r="BS28" s="87"/>
      <c r="BT28" s="87"/>
      <c r="BU28" s="87"/>
      <c r="BV28" s="87"/>
      <c r="BW28" s="87"/>
      <c r="BX28" s="87"/>
      <c r="BY28" s="88"/>
      <c r="BZ28" s="87"/>
      <c r="CA28" s="87"/>
      <c r="CB28" s="87"/>
      <c r="CC28" s="87"/>
      <c r="CD28" s="87"/>
      <c r="CE28" s="87"/>
      <c r="CF28" s="87"/>
      <c r="CG28" s="87"/>
      <c r="CH28" s="87"/>
      <c r="CI28" s="87"/>
      <c r="CJ28" s="87"/>
      <c r="CK28" s="87"/>
      <c r="CL28" s="87"/>
      <c r="CM28" s="87"/>
      <c r="CN28" s="87"/>
      <c r="CO28" s="87"/>
      <c r="CP28" s="87"/>
      <c r="CQ28" s="87"/>
      <c r="CR28" s="87"/>
      <c r="CS28" s="87"/>
      <c r="CT28" s="87"/>
      <c r="CU28" s="87"/>
      <c r="CV28" s="87"/>
      <c r="CW28" s="87"/>
      <c r="CX28" s="87"/>
      <c r="CY28" s="87"/>
      <c r="CZ28" s="87"/>
      <c r="DA28" s="87"/>
      <c r="DB28" s="87"/>
      <c r="DC28" s="87"/>
      <c r="DD28" s="87"/>
      <c r="DE28" s="87"/>
      <c r="DF28" s="87"/>
      <c r="DG28" s="87"/>
      <c r="DH28" s="87"/>
      <c r="DI28" s="87"/>
      <c r="DJ28" s="87"/>
      <c r="DK28" s="87"/>
      <c r="DL28" s="87"/>
      <c r="DM28" s="87"/>
      <c r="DN28" s="87"/>
      <c r="DO28" s="87"/>
      <c r="DP28" s="87"/>
      <c r="DQ28" s="87"/>
    </row>
    <row r="29" spans="1:121" ht="15" customHeight="1" x14ac:dyDescent="0.25">
      <c r="A29" s="59">
        <f>Input!A29</f>
        <v>10368</v>
      </c>
      <c r="B29" s="59" t="str">
        <f>Input!B29</f>
        <v>Hu1-13</v>
      </c>
      <c r="C29" s="59">
        <f>Input!O29</f>
        <v>2.2840168742437288</v>
      </c>
      <c r="D29" s="59">
        <f>C29*Input!P29/100</f>
        <v>1.3641844623789803E-2</v>
      </c>
      <c r="E29" s="60">
        <f>Input!M29</f>
        <v>3.0131897341778702</v>
      </c>
      <c r="F29" s="61">
        <f>E29*Input!N29/100</f>
        <v>2.9828267628610299E-4</v>
      </c>
      <c r="G29" s="62">
        <f t="shared" ref="G29:G31" si="62">E29*137.88</f>
        <v>415.45860054844474</v>
      </c>
      <c r="H29" s="61">
        <f>G29*Input!L29/100</f>
        <v>2.7449703401901587E-2</v>
      </c>
      <c r="I29" s="59">
        <v>0</v>
      </c>
      <c r="J29" s="63">
        <f>(((C29*Constants!$B$26*0.000000001*Input!G29*(Constants!$B$4/Constants!$B$3))-(I29*0.000000000000001))/Input!F29)*1000000000000</f>
        <v>748.19925621000493</v>
      </c>
      <c r="K29" s="59">
        <f>J29*Input!P29/100</f>
        <v>4.4688014856420928</v>
      </c>
      <c r="L29" s="64">
        <f>(J29/Constants!$B$4)*602200000000*Constants!$B$17/(365.2425*24*60)</f>
        <v>10.329721468716333</v>
      </c>
      <c r="M29" s="65">
        <f>L29*Input!P29/100</f>
        <v>6.1696766285894225E-2</v>
      </c>
      <c r="N29" s="59">
        <v>0</v>
      </c>
      <c r="O29" s="63">
        <f>(((G29*Constants!$B$23*0.000000001*Input!G29*(Constants!$B$7/Constants!$B$6))-(N29*0.000000001))/Input!F29)*1000000</f>
        <v>13.709676859684839</v>
      </c>
      <c r="P29" s="59">
        <f>O29*Input!N29/100</f>
        <v>1.3571528730301498E-3</v>
      </c>
      <c r="Q29" s="66">
        <f>(O29/Constants!$B$7)*602200000000000000*Constants!$B$18/(365.2425*24*60)</f>
        <v>10.229074496878159</v>
      </c>
      <c r="R29" s="67">
        <f>Q29*Input!N29/100</f>
        <v>1.0125999309801939E-3</v>
      </c>
      <c r="S29" s="65">
        <f>Input!S29*Constants!$B$17/Constants!$B$18</f>
        <v>0.99800100526574087</v>
      </c>
      <c r="T29" s="59">
        <f>S29*Input!T29/100</f>
        <v>1.5499584726239434E-3</v>
      </c>
      <c r="U29" s="65">
        <f>S29</f>
        <v>0.99800100526574087</v>
      </c>
      <c r="V29" s="59">
        <f>U29*Input!T29/100</f>
        <v>1.5499584726239434E-3</v>
      </c>
      <c r="W29" s="68">
        <v>0</v>
      </c>
      <c r="X29" s="63">
        <f>(((Constants!$B$29*0.000000001*Input!G29/Input!W29*(Constants!$B$11/Constants!$B$9))-(W29*0.000000001))/Input!F29)*1000000000</f>
        <v>0.7761320560088244</v>
      </c>
      <c r="Y29" s="63">
        <f>X29*Input!X29/100</f>
        <v>2.5363445961484109E-3</v>
      </c>
      <c r="Z29" s="63">
        <f>(X29/Constants!$B$11)*6.022E+23*0.000000001*Constants!$B$19/(365.2425*24*60)</f>
        <v>1.8947892623603487E-4</v>
      </c>
      <c r="AA29" s="63">
        <f>Z29*Input!X29/100</f>
        <v>6.1920371272141643E-7</v>
      </c>
      <c r="AB29" s="64">
        <v>0</v>
      </c>
      <c r="AC29" s="64">
        <v>0.9</v>
      </c>
      <c r="AD29" s="63">
        <f>(((Input!G29*Constants!$B$29*0.000000001*Input!U29*(Constants!$B$10/Constants!$B$9))-((AB29*0.000000000000001)+(Input!G29*AC29*0.000000000000001)))/Input!F29)*1000000000000</f>
        <v>224.3865620176349</v>
      </c>
      <c r="AE29" s="63">
        <f>AD29*Input!V29/100</f>
        <v>0.43263707035138588</v>
      </c>
      <c r="AF29" s="63">
        <f>(AD29/Constants!$B$10)*602200000000*Constants!$B$16/(365.2425*24*60)</f>
        <v>10.242274617718492</v>
      </c>
      <c r="AG29" s="63">
        <f>AF29*Input!V29/100</f>
        <v>1.9748008278659017E-2</v>
      </c>
      <c r="AH29" s="59">
        <f t="shared" ref="AH29:AH31" si="63">AF29/Z29</f>
        <v>54054.953873654726</v>
      </c>
      <c r="AI29" s="68">
        <f t="shared" ref="AI29:AI31" si="64">AH29*SQRT((AG29/AF29)^2+(AA29/Z29)^2)</f>
        <v>205.10194063876821</v>
      </c>
      <c r="AJ29" s="65">
        <f t="shared" si="37"/>
        <v>-1.9989947342591297</v>
      </c>
      <c r="AK29" s="68">
        <f t="shared" ref="AK29:AK31" si="65">V29*1000</f>
        <v>1.5499584726239435</v>
      </c>
      <c r="AL29" s="68">
        <f t="shared" ref="AL29:AL31" si="66">AF29/Q29</f>
        <v>1.0012904511394811</v>
      </c>
      <c r="AM29" s="68">
        <f t="shared" ref="AM29:AM31" si="67">AL29*SQRT((R29/Q29)^2+(AG29/AF29)^2)</f>
        <v>1.9331190974270327E-3</v>
      </c>
      <c r="AN29" s="59">
        <f>AF29/Q29</f>
        <v>1.0012904511394811</v>
      </c>
      <c r="AO29" s="63">
        <f t="shared" ref="AO29:AO31" si="68">AN29*SQRT((R29/Q29)^2+(AG29/AF29)^2)</f>
        <v>1.9331190974270327E-3</v>
      </c>
      <c r="AP29" s="59" t="str">
        <f t="shared" si="42"/>
        <v>Out of range</v>
      </c>
      <c r="AQ29" s="59" t="e">
        <f t="shared" si="43"/>
        <v>#VALUE!</v>
      </c>
      <c r="AR29" s="59" t="e">
        <f>(AQ29/AP29)*100</f>
        <v>#VALUE!</v>
      </c>
      <c r="AS29" s="67">
        <f>Z29/Q29</f>
        <v>1.852356499054362E-5</v>
      </c>
      <c r="AT29" s="67">
        <f>AS29*SQRT((Y29/X29)^2+(P29/O29)^2)</f>
        <v>6.0561465392292339E-8</v>
      </c>
      <c r="AU29" s="59">
        <v>0.75</v>
      </c>
      <c r="AV29" s="59">
        <f>AU29/2</f>
        <v>0.375</v>
      </c>
      <c r="AW29" s="69">
        <f t="shared" si="45"/>
        <v>0.99800097749397343</v>
      </c>
      <c r="AX29" s="69">
        <f t="shared" si="46"/>
        <v>1.5500110761658972E-3</v>
      </c>
      <c r="AY29" s="148">
        <f t="shared" si="47"/>
        <v>1.5531157895837403E-3</v>
      </c>
      <c r="AZ29" s="69">
        <f t="shared" si="48"/>
        <v>1.0012904690675468</v>
      </c>
      <c r="BA29" s="69">
        <f t="shared" si="49"/>
        <v>1.9331709479668015E-3</v>
      </c>
      <c r="BB29" s="148">
        <f t="shared" si="50"/>
        <v>1.9306794658367913E-3</v>
      </c>
      <c r="BC29" s="59" t="str">
        <f t="shared" si="51"/>
        <v>Out of range</v>
      </c>
      <c r="BD29" s="59" t="e">
        <f t="shared" si="52"/>
        <v>#VALUE!</v>
      </c>
      <c r="BE29" s="148" t="e">
        <f t="shared" si="53"/>
        <v>#VALUE!</v>
      </c>
      <c r="BF29" s="59"/>
      <c r="BG29" s="59"/>
      <c r="BH29" s="59" t="str">
        <f t="shared" si="54"/>
        <v>Out of range</v>
      </c>
      <c r="BI29" s="69">
        <f t="shared" si="55"/>
        <v>190.69534806749999</v>
      </c>
      <c r="BJ29" s="69" t="e">
        <f t="shared" si="56"/>
        <v>#VALUE!</v>
      </c>
      <c r="BK29" s="148" t="e">
        <f>BJ29/BH29</f>
        <v>#VALUE!</v>
      </c>
      <c r="BL29" s="59" t="str">
        <f>Input!B29</f>
        <v>Hu1-13</v>
      </c>
      <c r="BM29" s="70">
        <f>Input!E29</f>
        <v>0</v>
      </c>
      <c r="BN29" s="59" t="e">
        <f>((U29-1)*EXP(Constants!$B$17*BH29*1000))*1000</f>
        <v>#VALUE!</v>
      </c>
      <c r="BO29" s="65" t="e">
        <f t="shared" si="57"/>
        <v>#VALUE!</v>
      </c>
      <c r="BP29" s="59" t="e">
        <f>BH29*1000-58</f>
        <v>#VALUE!</v>
      </c>
      <c r="BQ29" s="71" t="e">
        <f>BJ29/2*1000</f>
        <v>#VALUE!</v>
      </c>
      <c r="BR29" s="72" t="e">
        <f>BJ29/BH29*100</f>
        <v>#VALUE!</v>
      </c>
      <c r="BS29" s="73"/>
      <c r="BT29" s="87"/>
      <c r="BU29" s="87"/>
      <c r="BV29" s="87"/>
      <c r="BW29" s="87"/>
      <c r="BX29" s="87"/>
      <c r="BY29" s="88"/>
      <c r="BZ29" s="87"/>
      <c r="CA29" s="87"/>
      <c r="CB29" s="87"/>
      <c r="CC29" s="87"/>
      <c r="CD29" s="87"/>
      <c r="CE29" s="87"/>
      <c r="CF29" s="87"/>
      <c r="CG29" s="87"/>
      <c r="CH29" s="87"/>
      <c r="CI29" s="87"/>
      <c r="CJ29" s="87"/>
      <c r="CK29" s="87"/>
      <c r="CL29" s="87"/>
      <c r="CM29" s="87"/>
      <c r="CN29" s="87"/>
      <c r="CO29" s="87"/>
      <c r="CP29" s="87"/>
      <c r="CQ29" s="87"/>
      <c r="CR29" s="87"/>
      <c r="CS29" s="87"/>
      <c r="CT29" s="87"/>
      <c r="CU29" s="87"/>
      <c r="CV29" s="87"/>
      <c r="CW29" s="87"/>
      <c r="CX29" s="87"/>
      <c r="CY29" s="87"/>
      <c r="CZ29" s="87"/>
      <c r="DA29" s="87"/>
      <c r="DB29" s="87"/>
      <c r="DC29" s="87"/>
      <c r="DD29" s="87"/>
      <c r="DE29" s="87"/>
      <c r="DF29" s="87"/>
      <c r="DG29" s="87"/>
      <c r="DH29" s="87"/>
      <c r="DI29" s="87"/>
      <c r="DJ29" s="87"/>
      <c r="DK29" s="87"/>
      <c r="DL29" s="87"/>
      <c r="DM29" s="87"/>
      <c r="DN29" s="87"/>
      <c r="DO29" s="87"/>
      <c r="DP29" s="87"/>
      <c r="DQ29" s="87"/>
    </row>
    <row r="30" spans="1:121" ht="15" customHeight="1" x14ac:dyDescent="0.25">
      <c r="A30" s="58" t="str">
        <f>Input!A30</f>
        <v>9368d</v>
      </c>
      <c r="B30" s="58" t="str">
        <f>Input!B30</f>
        <v>LM-AJ15</v>
      </c>
      <c r="C30" s="58">
        <f>Input!O30</f>
        <v>1.9557199171399213</v>
      </c>
      <c r="D30" s="58">
        <f>C30*Input!P30/100</f>
        <v>2.2343585562872165E-2</v>
      </c>
      <c r="E30" s="77">
        <f>Input!M30</f>
        <v>2.2131809309262991</v>
      </c>
      <c r="F30" s="78">
        <f>E30*Input!N30/100</f>
        <v>2.3038200039162668E-4</v>
      </c>
      <c r="G30" s="79">
        <f t="shared" si="62"/>
        <v>305.1533867561181</v>
      </c>
      <c r="H30" s="78">
        <f>G30*Input!L30/100</f>
        <v>1.9880280577078718E-2</v>
      </c>
      <c r="I30" s="58">
        <v>0.3</v>
      </c>
      <c r="J30" s="80">
        <f>(((C30*Constants!$B$26*0.000000001*Input!G30*(Constants!$B$4/Constants!$B$3))-(I30*0.000000000000001))/Input!F30)*1000000000000</f>
        <v>130.31251349865875</v>
      </c>
      <c r="K30" s="58">
        <f>J30*Input!P30/100</f>
        <v>1.4887861854617004</v>
      </c>
      <c r="L30" s="81">
        <f>(J30/Constants!$B$4)*602200000000*Constants!$B$17/(365.2425*24*60)</f>
        <v>1.7991089367665192</v>
      </c>
      <c r="M30" s="74">
        <f>L30*Input!P30/100</f>
        <v>2.0554346311693616E-2</v>
      </c>
      <c r="N30" s="58">
        <v>5.0000000000000001E-3</v>
      </c>
      <c r="O30" s="80">
        <f>(((G30*Constants!$B$23*0.000000001*Input!G30*(Constants!$B$7/Constants!$B$6))-(N30*0.000000001))/Input!F30)*1000000</f>
        <v>2.0482308606464037</v>
      </c>
      <c r="P30" s="58">
        <f>O30*Input!N30/100</f>
        <v>2.1321145340886524E-4</v>
      </c>
      <c r="Q30" s="82">
        <f>(O30/Constants!$B$7)*602200000000000000*Constants!$B$18/(365.2425*24*60)</f>
        <v>1.5282275632599096</v>
      </c>
      <c r="R30" s="75">
        <f>Q30*Input!N30/100</f>
        <v>1.5908149133115931E-4</v>
      </c>
      <c r="S30" s="74">
        <f>Input!S30*Constants!$B$17/Constants!$B$18</f>
        <v>1.1631050626064758</v>
      </c>
      <c r="T30" s="58">
        <f>S30*Input!T30/100</f>
        <v>1.9665282654384277E-3</v>
      </c>
      <c r="U30" s="58">
        <f>S30*1/((U29+U31)/2)</f>
        <v>1.1643626953771358</v>
      </c>
      <c r="V30" s="58">
        <f>U30*Input!T30/100</f>
        <v>1.9686546171073837E-3</v>
      </c>
      <c r="W30" s="83">
        <v>3.0000000000000001E-3</v>
      </c>
      <c r="X30" s="80">
        <f>IF((((Constants!$B$29*0.000000001*Input!G30/Input!W30*(Constants!$B$11/Constants!$B$9))-(W30*0.000000001))/Input!F30)*1000000000&lt;0, "n.d.", (((Constants!$B$29*0.000000001*Input!G30/Input!W30*(Constants!$B$11/Constants!$B$9))-(W30*0.000000001))/Input!F30)*1000000000)</f>
        <v>30.484795409747672</v>
      </c>
      <c r="Y30" s="80">
        <f>X30*Input!X30/100</f>
        <v>6.3558429320066986E-2</v>
      </c>
      <c r="Z30" s="80">
        <f>(X30/Constants!$B$11)*6.022E+23*0.000000001*Constants!$B$19/(365.2425*24*60)</f>
        <v>7.4423240942627922E-3</v>
      </c>
      <c r="AA30" s="80">
        <f>Z30*Input!X30/100</f>
        <v>1.5516667360378017E-5</v>
      </c>
      <c r="AB30" s="81">
        <v>0.05</v>
      </c>
      <c r="AC30" s="81">
        <v>0.9</v>
      </c>
      <c r="AD30" s="80">
        <f>(((Input!G30*Constants!$B$29*0.000000001*Input!U30*(Constants!$B$10/Constants!$B$9))-((AB30*0.000000000000001)+(Input!G30*AC30*0.000000000000001)))/Input!F30)*1000000000000</f>
        <v>38.610204947360231</v>
      </c>
      <c r="AE30" s="80">
        <f>AD30*Input!V30/100</f>
        <v>9.7901265395941572E-2</v>
      </c>
      <c r="AF30" s="80">
        <f>(AD30/Constants!$B$10)*602200000000*Constants!$B$16/(365.2425*24*60)</f>
        <v>1.7623886143688809</v>
      </c>
      <c r="AG30" s="80">
        <f>AF30*Input!V30/100</f>
        <v>4.4687687025062022E-3</v>
      </c>
      <c r="AH30" s="58">
        <f t="shared" si="63"/>
        <v>236.80621698905688</v>
      </c>
      <c r="AI30" s="83">
        <f t="shared" si="64"/>
        <v>0.7773713618615955</v>
      </c>
      <c r="AJ30" s="74">
        <f t="shared" si="37"/>
        <v>164.36269537713576</v>
      </c>
      <c r="AK30" s="83">
        <f t="shared" si="65"/>
        <v>1.9686546171073838</v>
      </c>
      <c r="AL30" s="83">
        <f t="shared" si="66"/>
        <v>1.1532239417338312</v>
      </c>
      <c r="AM30" s="83">
        <f t="shared" si="67"/>
        <v>2.9266144328759375E-3</v>
      </c>
      <c r="AN30" s="58">
        <f>AL30*1/((AN29+AN31)/2)</f>
        <v>1.1542256223996479</v>
      </c>
      <c r="AO30" s="80">
        <f t="shared" si="68"/>
        <v>2.9291564656829432E-3</v>
      </c>
      <c r="AP30" s="58">
        <f t="shared" si="42"/>
        <v>321.6001</v>
      </c>
      <c r="AQ30" s="58">
        <f t="shared" si="43"/>
        <v>5.5890000000000004</v>
      </c>
      <c r="AR30" s="144">
        <f>(AQ30/AP30)</f>
        <v>1.737872593945089E-2</v>
      </c>
      <c r="AS30" s="75">
        <f>IF(X30="n.d.", "n.d.", Z30/Q30)</f>
        <v>4.8699056823627365E-3</v>
      </c>
      <c r="AT30" s="75">
        <f>IF(X30="n.d.", "n.d.", AS30*SQRT((Y30/X30)^2+(P30/O30)^2))</f>
        <v>1.0166022060904151E-5</v>
      </c>
      <c r="AU30" s="58">
        <v>0.75</v>
      </c>
      <c r="AV30" s="58">
        <v>0.375</v>
      </c>
      <c r="AW30" s="76">
        <f t="shared" si="45"/>
        <v>1.1649652191708098</v>
      </c>
      <c r="AX30" s="76">
        <f t="shared" si="46"/>
        <v>3.4384826731935427E-3</v>
      </c>
      <c r="AY30" s="144">
        <f t="shared" si="47"/>
        <v>2.951575391788057E-3</v>
      </c>
      <c r="AZ30" s="76">
        <f t="shared" si="48"/>
        <v>1.1547909855246365</v>
      </c>
      <c r="BA30" s="76">
        <f t="shared" si="49"/>
        <v>4.0598991104271141E-3</v>
      </c>
      <c r="BB30" s="144">
        <f t="shared" si="50"/>
        <v>3.515700383288539E-3</v>
      </c>
      <c r="BC30" s="58">
        <f t="shared" si="51"/>
        <v>321.31659999999999</v>
      </c>
      <c r="BD30" s="58">
        <f t="shared" si="52"/>
        <v>8.8474000000000004</v>
      </c>
      <c r="BE30" s="144">
        <f t="shared" si="53"/>
        <v>2.753483635766095E-2</v>
      </c>
      <c r="BF30" s="144"/>
      <c r="BG30" s="144"/>
      <c r="BH30" s="58">
        <f t="shared" si="54"/>
        <v>321.31670000000003</v>
      </c>
      <c r="BI30" s="76">
        <f t="shared" si="55"/>
        <v>5.7480910836000003</v>
      </c>
      <c r="BJ30" s="76">
        <f t="shared" si="56"/>
        <v>5.65567130672612</v>
      </c>
      <c r="BK30" s="144">
        <f>BJ30/BH30</f>
        <v>1.7601547964130465E-2</v>
      </c>
      <c r="BL30" s="58" t="str">
        <f>Input!B30</f>
        <v>LM-AJ15</v>
      </c>
      <c r="BM30" s="84">
        <f>Input!E30</f>
        <v>0</v>
      </c>
      <c r="BN30" s="58">
        <f>((U30-1)*EXP(Constants!$B$17*BH30*1000))*1000</f>
        <v>407.01520745989455</v>
      </c>
      <c r="BO30" s="74">
        <f t="shared" si="57"/>
        <v>8.1408876521516138</v>
      </c>
      <c r="BP30" s="58">
        <f>BH30*1000-58</f>
        <v>321258.7</v>
      </c>
      <c r="BQ30" s="85">
        <f>BJ30/2*1000</f>
        <v>2827.8356533630599</v>
      </c>
      <c r="BR30" s="86">
        <f>BJ30/BH30*100</f>
        <v>1.7601547964130466</v>
      </c>
      <c r="BS30" s="87"/>
      <c r="BT30" s="87"/>
      <c r="BU30" s="87"/>
      <c r="BV30" s="87"/>
      <c r="BW30" s="87"/>
      <c r="BX30" s="87"/>
      <c r="BY30" s="88"/>
      <c r="BZ30" s="87"/>
      <c r="CA30" s="87"/>
      <c r="CB30" s="87"/>
      <c r="CC30" s="87"/>
      <c r="CD30" s="87"/>
      <c r="CE30" s="87"/>
      <c r="CF30" s="87"/>
      <c r="CG30" s="87"/>
      <c r="CH30" s="87"/>
      <c r="CI30" s="87"/>
      <c r="CJ30" s="87"/>
      <c r="CK30" s="87"/>
      <c r="CL30" s="87"/>
      <c r="CM30" s="87"/>
      <c r="CN30" s="87"/>
      <c r="CO30" s="87"/>
      <c r="CP30" s="87"/>
      <c r="CQ30" s="87"/>
      <c r="CR30" s="87"/>
      <c r="CS30" s="87"/>
      <c r="CT30" s="87"/>
      <c r="CU30" s="87"/>
      <c r="CV30" s="87"/>
      <c r="CW30" s="87"/>
      <c r="CX30" s="87"/>
      <c r="CY30" s="87"/>
      <c r="CZ30" s="87"/>
      <c r="DA30" s="87"/>
      <c r="DB30" s="87"/>
      <c r="DC30" s="87"/>
      <c r="DD30" s="87"/>
      <c r="DE30" s="87"/>
      <c r="DF30" s="87"/>
      <c r="DG30" s="87"/>
      <c r="DH30" s="87"/>
      <c r="DI30" s="87"/>
      <c r="DJ30" s="87"/>
      <c r="DK30" s="87"/>
      <c r="DL30" s="87"/>
      <c r="DM30" s="87"/>
      <c r="DN30" s="87"/>
      <c r="DO30" s="87"/>
      <c r="DP30" s="87"/>
      <c r="DQ30" s="87"/>
    </row>
    <row r="31" spans="1:121" ht="15" customHeight="1" x14ac:dyDescent="0.25">
      <c r="A31" s="59">
        <f>Input!A31</f>
        <v>10368</v>
      </c>
      <c r="B31" s="59" t="str">
        <f>Input!B31</f>
        <v>Hu1-13</v>
      </c>
      <c r="C31" s="59">
        <f>Input!O31</f>
        <v>2.2976809197213783</v>
      </c>
      <c r="D31" s="59">
        <f>C31*Input!P31/100</f>
        <v>2.1048450636330748E-2</v>
      </c>
      <c r="E31" s="60">
        <f>Input!M31</f>
        <v>3.0134390936823534</v>
      </c>
      <c r="F31" s="61">
        <f>E31*Input!N31/100</f>
        <v>2.6764607552534733E-4</v>
      </c>
      <c r="G31" s="62">
        <f t="shared" si="62"/>
        <v>415.4929822369229</v>
      </c>
      <c r="H31" s="61">
        <f>G31*Input!L31/100</f>
        <v>2.0598141117301526E-2</v>
      </c>
      <c r="I31" s="59">
        <v>0</v>
      </c>
      <c r="J31" s="63">
        <f>(((C31*Constants!$B$26*0.000000001*Input!G31*(Constants!$B$4/Constants!$B$3))-(I31*0.000000000000001))/Input!F31)*1000000000000</f>
        <v>752.67533026115746</v>
      </c>
      <c r="K31" s="59">
        <f>J31*Input!P31/100</f>
        <v>6.895060753739048</v>
      </c>
      <c r="L31" s="64">
        <f>(J31/Constants!$B$4)*602200000000*Constants!$B$17/(365.2425*24*60)</f>
        <v>10.391518640843936</v>
      </c>
      <c r="M31" s="65">
        <f>L31*Input!P31/100</f>
        <v>9.5193969393642983E-2</v>
      </c>
      <c r="N31" s="59">
        <v>0</v>
      </c>
      <c r="O31" s="63">
        <f>(((G31*Constants!$B$23*0.000000001*Input!G31*(Constants!$B$7/Constants!$B$6))-(N31*0.000000001))/Input!F31)*1000000</f>
        <v>13.710811417588571</v>
      </c>
      <c r="P31" s="59">
        <f>O31*Input!N31/100</f>
        <v>1.2177597602284651E-3</v>
      </c>
      <c r="Q31" s="66">
        <f>(O31/Constants!$B$7)*602200000000000000*Constants!$B$18/(365.2425*24*60)</f>
        <v>10.229921014081816</v>
      </c>
      <c r="R31" s="67">
        <f>Q31*Input!N31/100</f>
        <v>9.0859583593159955E-4</v>
      </c>
      <c r="S31" s="65">
        <f>Input!S31*Constants!$B$17/Constants!$B$18</f>
        <v>0.9998387867927766</v>
      </c>
      <c r="T31" s="59">
        <f>S31*Input!T31/100</f>
        <v>1.4799021732733869E-3</v>
      </c>
      <c r="U31" s="65">
        <f>S31</f>
        <v>0.9998387867927766</v>
      </c>
      <c r="V31" s="59">
        <f>U31*Input!T31/100</f>
        <v>1.4799021732733869E-3</v>
      </c>
      <c r="W31" s="68">
        <v>0</v>
      </c>
      <c r="X31" s="63">
        <f>(((Constants!$B$29*0.000000001*Input!G31/Input!W31*(Constants!$B$11/Constants!$B$9))-(W31*0.000000001))/Input!F31)*1000000000</f>
        <v>0.76965630351098813</v>
      </c>
      <c r="Y31" s="63">
        <f>X31*Input!X31/100</f>
        <v>2.9105311867814853E-3</v>
      </c>
      <c r="Z31" s="63">
        <f>(X31/Constants!$B$11)*6.022E+23*0.000000001*Constants!$B$19/(365.2425*24*60)</f>
        <v>1.87897985698454E-4</v>
      </c>
      <c r="AA31" s="63">
        <f>Z31*Input!X31/100</f>
        <v>7.1055475647249627E-7</v>
      </c>
      <c r="AB31" s="64">
        <v>0</v>
      </c>
      <c r="AC31" s="64">
        <v>0.9</v>
      </c>
      <c r="AD31" s="63">
        <f>(((Input!G31*Constants!$B$29*0.000000001*Input!U31*(Constants!$B$10/Constants!$B$9))-((AB31*0.000000000000001)+(Input!G31*AC31*0.000000000000001)))/Input!F31)*1000000000000</f>
        <v>223.43771750853986</v>
      </c>
      <c r="AE31" s="63">
        <f>AD31*Input!V31/100</f>
        <v>0.46515276664632554</v>
      </c>
      <c r="AF31" s="63">
        <f>(AD31/Constants!$B$10)*602200000000*Constants!$B$16/(365.2425*24*60)</f>
        <v>10.198963975832093</v>
      </c>
      <c r="AG31" s="63">
        <f>AF31*Input!V31/100</f>
        <v>2.1232208971626223E-2</v>
      </c>
      <c r="AH31" s="59">
        <f t="shared" si="63"/>
        <v>54279.261897994948</v>
      </c>
      <c r="AI31" s="68">
        <f t="shared" si="64"/>
        <v>234.3103236511827</v>
      </c>
      <c r="AJ31" s="65">
        <f t="shared" si="37"/>
        <v>-0.16121320722339849</v>
      </c>
      <c r="AK31" s="68">
        <f t="shared" si="65"/>
        <v>1.4799021732733868</v>
      </c>
      <c r="AL31" s="68">
        <f t="shared" si="66"/>
        <v>0.99697387318952813</v>
      </c>
      <c r="AM31" s="68">
        <f t="shared" si="67"/>
        <v>2.0773888255303957E-3</v>
      </c>
      <c r="AN31" s="59">
        <f>AF31/Q31</f>
        <v>0.99697387318952813</v>
      </c>
      <c r="AO31" s="63">
        <f t="shared" si="68"/>
        <v>2.0773888255303957E-3</v>
      </c>
      <c r="AP31" s="59">
        <f t="shared" si="42"/>
        <v>641.09209999999996</v>
      </c>
      <c r="AQ31" s="59" t="e">
        <f t="shared" si="43"/>
        <v>#VALUE!</v>
      </c>
      <c r="AR31" s="59" t="e">
        <f>(AQ31/AP31)*100</f>
        <v>#VALUE!</v>
      </c>
      <c r="AS31" s="67">
        <f>Z31/Q31</f>
        <v>1.8367491346199681E-5</v>
      </c>
      <c r="AT31" s="67">
        <f>AS31*SQRT((Y31/X31)^2+(P31/O31)^2)</f>
        <v>6.9477634218217198E-8</v>
      </c>
      <c r="AU31" s="59">
        <v>0.75</v>
      </c>
      <c r="AV31" s="59">
        <f>AU31/2</f>
        <v>0.375</v>
      </c>
      <c r="AW31" s="69">
        <f t="shared" si="45"/>
        <v>0.99983878457193431</v>
      </c>
      <c r="AX31" s="69">
        <f t="shared" si="46"/>
        <v>1.4799546143509999E-3</v>
      </c>
      <c r="AY31" s="148">
        <f t="shared" si="47"/>
        <v>1.4801932443385059E-3</v>
      </c>
      <c r="AZ31" s="69">
        <f t="shared" si="48"/>
        <v>0.99697383150218533</v>
      </c>
      <c r="BA31" s="69">
        <f t="shared" si="49"/>
        <v>2.0774402130105877E-3</v>
      </c>
      <c r="BB31" s="148">
        <f t="shared" si="50"/>
        <v>2.0837459794510503E-3</v>
      </c>
      <c r="BC31" s="59">
        <f t="shared" si="51"/>
        <v>641.08979999999997</v>
      </c>
      <c r="BD31" s="59" t="e">
        <f t="shared" si="52"/>
        <v>#VALUE!</v>
      </c>
      <c r="BE31" s="148" t="e">
        <f t="shared" si="53"/>
        <v>#VALUE!</v>
      </c>
      <c r="BF31" s="59"/>
      <c r="BG31" s="59"/>
      <c r="BH31" s="59">
        <f t="shared" si="54"/>
        <v>641.09059999999999</v>
      </c>
      <c r="BI31" s="69">
        <f t="shared" si="55"/>
        <v>271.23122410870002</v>
      </c>
      <c r="BJ31" s="69">
        <f t="shared" si="56"/>
        <v>114.58381121892764</v>
      </c>
      <c r="BK31" s="148">
        <f>BJ31/BH31</f>
        <v>0.17873263345138368</v>
      </c>
      <c r="BL31" s="59" t="str">
        <f>Input!B31</f>
        <v>Hu1-13</v>
      </c>
      <c r="BM31" s="70">
        <f>Input!E31</f>
        <v>0</v>
      </c>
      <c r="BN31" s="59">
        <f>((U31-1)*EXP(Constants!$B$17*BH31*1000))*1000</f>
        <v>-0.98429327467852734</v>
      </c>
      <c r="BO31" s="65">
        <f t="shared" si="57"/>
        <v>9.0658285932289715</v>
      </c>
      <c r="BP31" s="59">
        <f>BH31*1000-58</f>
        <v>641032.6</v>
      </c>
      <c r="BQ31" s="71">
        <f>BJ31/2*1000</f>
        <v>57291.905609463814</v>
      </c>
      <c r="BR31" s="72">
        <f>BJ31/BH31*100</f>
        <v>17.873263345138369</v>
      </c>
      <c r="BS31" s="73"/>
      <c r="BT31" s="87"/>
      <c r="BU31" s="87"/>
      <c r="BV31" s="87"/>
      <c r="BW31" s="87"/>
      <c r="BX31" s="87"/>
      <c r="BY31" s="88"/>
      <c r="BZ31" s="87"/>
      <c r="CA31" s="87"/>
      <c r="CB31" s="87"/>
      <c r="CC31" s="87"/>
      <c r="CD31" s="87"/>
      <c r="CE31" s="87"/>
      <c r="CF31" s="87"/>
      <c r="CG31" s="87"/>
      <c r="CH31" s="87"/>
      <c r="CI31" s="87"/>
      <c r="CJ31" s="87"/>
      <c r="CK31" s="87"/>
      <c r="CL31" s="87"/>
      <c r="CM31" s="87"/>
      <c r="CN31" s="87"/>
      <c r="CO31" s="87"/>
      <c r="CP31" s="87"/>
      <c r="CQ31" s="87"/>
      <c r="CR31" s="87"/>
      <c r="CS31" s="87"/>
      <c r="CT31" s="87"/>
      <c r="CU31" s="87"/>
      <c r="CV31" s="87"/>
      <c r="CW31" s="87"/>
      <c r="CX31" s="87"/>
      <c r="CY31" s="87"/>
      <c r="CZ31" s="87"/>
      <c r="DA31" s="87"/>
      <c r="DB31" s="87"/>
      <c r="DC31" s="87"/>
      <c r="DD31" s="87"/>
      <c r="DE31" s="87"/>
      <c r="DF31" s="87"/>
      <c r="DG31" s="87"/>
      <c r="DH31" s="87"/>
      <c r="DI31" s="87"/>
      <c r="DJ31" s="87"/>
      <c r="DK31" s="87"/>
      <c r="DL31" s="87"/>
      <c r="DM31" s="87"/>
      <c r="DN31" s="87"/>
      <c r="DO31" s="87"/>
      <c r="DP31" s="87"/>
      <c r="DQ31" s="87"/>
    </row>
  </sheetData>
  <phoneticPr fontId="0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AB386"/>
  <sheetViews>
    <sheetView zoomScale="87" zoomScaleNormal="87" workbookViewId="0">
      <pane ySplit="3" topLeftCell="A4" activePane="bottomLeft" state="frozenSplit"/>
      <selection pane="bottomLeft" activeCell="F30" sqref="F30"/>
    </sheetView>
  </sheetViews>
  <sheetFormatPr baseColWidth="10" defaultRowHeight="15" x14ac:dyDescent="0.25"/>
  <cols>
    <col min="1" max="1" width="23.7109375" style="14" bestFit="1" customWidth="1"/>
    <col min="2" max="2" width="42.28515625" style="14" bestFit="1" customWidth="1"/>
    <col min="3" max="3" width="11.85546875" style="27" bestFit="1" customWidth="1"/>
    <col min="4" max="6" width="11.42578125" style="27"/>
    <col min="7" max="7" width="12.7109375" style="27" bestFit="1" customWidth="1"/>
    <col min="8" max="8" width="11.42578125" style="27"/>
    <col min="9" max="9" width="13.85546875" style="25" bestFit="1" customWidth="1"/>
    <col min="10" max="10" width="11.42578125" style="25"/>
    <col min="11" max="12" width="11.42578125" style="24"/>
    <col min="13" max="13" width="14.140625" style="24" bestFit="1" customWidth="1"/>
    <col min="14" max="14" width="11.42578125" style="24"/>
    <col min="15" max="15" width="14.42578125" style="29" bestFit="1" customWidth="1"/>
    <col min="16" max="16" width="11.42578125" style="29"/>
    <col min="17" max="17" width="11.42578125" style="166"/>
    <col min="18" max="18" width="13.5703125" style="29" bestFit="1" customWidth="1"/>
    <col min="19" max="19" width="11.42578125" style="29"/>
    <col min="20" max="20" width="11.42578125" style="166"/>
    <col min="21" max="21" width="11.42578125" style="14"/>
    <col min="22" max="16384" width="11.42578125" style="31"/>
  </cols>
  <sheetData>
    <row r="1" spans="1:28" ht="18.75" x14ac:dyDescent="0.25">
      <c r="A1" s="93" t="s">
        <v>65</v>
      </c>
      <c r="B1" s="93" t="s">
        <v>0</v>
      </c>
      <c r="C1" s="154" t="s">
        <v>145</v>
      </c>
      <c r="D1" s="154" t="s">
        <v>146</v>
      </c>
      <c r="E1" s="155" t="s">
        <v>147</v>
      </c>
      <c r="F1" s="154" t="s">
        <v>146</v>
      </c>
      <c r="G1" s="156" t="s">
        <v>174</v>
      </c>
      <c r="H1" s="154" t="s">
        <v>146</v>
      </c>
      <c r="I1" s="157" t="s">
        <v>175</v>
      </c>
      <c r="J1" s="154" t="s">
        <v>146</v>
      </c>
      <c r="K1" s="158" t="s">
        <v>149</v>
      </c>
      <c r="L1" s="154" t="s">
        <v>146</v>
      </c>
      <c r="M1" s="158" t="s">
        <v>155</v>
      </c>
      <c r="N1" s="154" t="s">
        <v>146</v>
      </c>
      <c r="O1" s="158" t="s">
        <v>150</v>
      </c>
      <c r="P1" s="154" t="s">
        <v>146</v>
      </c>
      <c r="Q1" s="164" t="s">
        <v>146</v>
      </c>
      <c r="R1" s="158" t="s">
        <v>151</v>
      </c>
      <c r="S1" s="154" t="s">
        <v>146</v>
      </c>
      <c r="T1" s="164" t="s">
        <v>146</v>
      </c>
      <c r="U1" s="99" t="s">
        <v>2</v>
      </c>
      <c r="V1" s="185"/>
      <c r="W1" s="187" t="s">
        <v>154</v>
      </c>
      <c r="X1" s="188" t="s">
        <v>146</v>
      </c>
      <c r="Y1" s="187" t="s">
        <v>148</v>
      </c>
      <c r="Z1" s="188" t="s">
        <v>146</v>
      </c>
      <c r="AA1" s="187" t="s">
        <v>156</v>
      </c>
      <c r="AB1" s="188" t="s">
        <v>146</v>
      </c>
    </row>
    <row r="2" spans="1:28" ht="15.75" thickBot="1" x14ac:dyDescent="0.3">
      <c r="A2" s="111"/>
      <c r="B2" s="111"/>
      <c r="C2" s="159" t="s">
        <v>84</v>
      </c>
      <c r="D2" s="159" t="s">
        <v>33</v>
      </c>
      <c r="E2" s="160" t="s">
        <v>36</v>
      </c>
      <c r="F2" s="160" t="s">
        <v>37</v>
      </c>
      <c r="G2" s="161" t="s">
        <v>76</v>
      </c>
      <c r="H2" s="161" t="s">
        <v>77</v>
      </c>
      <c r="I2" s="162" t="s">
        <v>76</v>
      </c>
      <c r="J2" s="162" t="s">
        <v>37</v>
      </c>
      <c r="K2" s="163" t="s">
        <v>152</v>
      </c>
      <c r="L2" s="163" t="s">
        <v>152</v>
      </c>
      <c r="M2" s="163" t="s">
        <v>152</v>
      </c>
      <c r="N2" s="163" t="s">
        <v>152</v>
      </c>
      <c r="O2" s="163" t="s">
        <v>39</v>
      </c>
      <c r="P2" s="163" t="s">
        <v>39</v>
      </c>
      <c r="Q2" s="165" t="s">
        <v>153</v>
      </c>
      <c r="R2" s="163" t="s">
        <v>78</v>
      </c>
      <c r="S2" s="163" t="s">
        <v>39</v>
      </c>
      <c r="T2" s="165" t="s">
        <v>153</v>
      </c>
      <c r="U2" s="111" t="s">
        <v>12</v>
      </c>
      <c r="V2" s="186"/>
      <c r="W2" s="189" t="s">
        <v>76</v>
      </c>
      <c r="X2" s="189" t="s">
        <v>77</v>
      </c>
      <c r="Y2" s="189" t="s">
        <v>76</v>
      </c>
      <c r="Z2" s="189" t="s">
        <v>77</v>
      </c>
      <c r="AA2" s="189" t="s">
        <v>76</v>
      </c>
      <c r="AB2" s="189" t="s">
        <v>77</v>
      </c>
    </row>
    <row r="3" spans="1:28" ht="15.75" thickTop="1" x14ac:dyDescent="0.25">
      <c r="W3" s="191" t="s">
        <v>176</v>
      </c>
      <c r="X3" s="190"/>
      <c r="Y3" s="190"/>
      <c r="Z3" s="190"/>
      <c r="AA3" s="190"/>
      <c r="AB3" s="190"/>
    </row>
    <row r="4" spans="1:28" x14ac:dyDescent="0.25">
      <c r="W4" s="190"/>
      <c r="X4" s="190"/>
      <c r="Y4" s="190"/>
      <c r="Z4" s="190"/>
      <c r="AA4" s="190"/>
      <c r="AB4" s="190"/>
    </row>
    <row r="5" spans="1:28" x14ac:dyDescent="0.25">
      <c r="W5" s="190"/>
      <c r="X5" s="190"/>
      <c r="Y5" s="190"/>
      <c r="Z5" s="190"/>
      <c r="AA5" s="190"/>
      <c r="AB5" s="190"/>
    </row>
    <row r="6" spans="1:28" x14ac:dyDescent="0.25">
      <c r="W6" s="190"/>
      <c r="X6" s="190"/>
      <c r="Y6" s="190"/>
      <c r="Z6" s="190"/>
      <c r="AA6" s="190"/>
      <c r="AB6" s="190"/>
    </row>
    <row r="7" spans="1:28" x14ac:dyDescent="0.25">
      <c r="H7" s="28"/>
      <c r="W7" s="190"/>
      <c r="X7" s="190"/>
      <c r="Y7" s="190"/>
      <c r="Z7" s="190"/>
      <c r="AA7" s="190"/>
      <c r="AB7" s="190"/>
    </row>
    <row r="8" spans="1:28" x14ac:dyDescent="0.25">
      <c r="A8" s="14">
        <f>Input!A8</f>
        <v>10176</v>
      </c>
      <c r="B8" s="14" t="str">
        <f>Input!B8</f>
        <v>LA-10-01 top</v>
      </c>
      <c r="C8" s="27">
        <f>Calc!O8*1000</f>
        <v>245.40412936304543</v>
      </c>
      <c r="D8" s="27">
        <f>Calc!P8*1000</f>
        <v>1.7553605053766404E-2</v>
      </c>
      <c r="E8" s="27">
        <f>IF(Calc!X8="","&lt;0.003",Calc!X8)</f>
        <v>3.308837177413201</v>
      </c>
      <c r="F8" s="27">
        <f>IF(Calc!X8="","",Calc!Y8)</f>
        <v>5.3228712878760718E-3</v>
      </c>
      <c r="G8" s="27">
        <f>Calc!AN8</f>
        <v>0.8761460351083542</v>
      </c>
      <c r="H8" s="28">
        <f>Calc!AO8</f>
        <v>1.7919579334358738E-3</v>
      </c>
      <c r="I8" s="25">
        <f>Calc!AH8</f>
        <v>198.46484150283237</v>
      </c>
      <c r="J8" s="25">
        <f>Calc!AI8</f>
        <v>0.51623325500695716</v>
      </c>
      <c r="K8" s="24">
        <f>Calc!AJ8</f>
        <v>275.47298440255054</v>
      </c>
      <c r="L8" s="24">
        <f>Calc!AK8</f>
        <v>1.6020745200698561</v>
      </c>
      <c r="M8" s="24">
        <f>Calc!BN8</f>
        <v>377.7899939319592</v>
      </c>
      <c r="N8" s="24">
        <f>Calc!BO8</f>
        <v>4.0043147340157796</v>
      </c>
      <c r="O8" s="29">
        <f>Calc!AP8</f>
        <v>119.2216</v>
      </c>
      <c r="P8" s="29">
        <f>Calc!AQ8</f>
        <v>0.50560000000000005</v>
      </c>
      <c r="Q8" s="166">
        <f>P8/O8</f>
        <v>4.2408422634824571E-3</v>
      </c>
      <c r="R8" s="29">
        <f>Calc!BH8</f>
        <v>111.92140000000001</v>
      </c>
      <c r="S8" s="29">
        <f>Calc!BJ8</f>
        <v>3.1331758439234325</v>
      </c>
      <c r="T8" s="166">
        <f>S8/R8</f>
        <v>2.7994430412087701E-2</v>
      </c>
      <c r="U8" s="14">
        <f>Input!E8</f>
        <v>0</v>
      </c>
      <c r="W8" s="190">
        <f>Calc!AS8</f>
        <v>4.4117378801008487E-3</v>
      </c>
      <c r="X8" s="190">
        <f>Calc!AT8</f>
        <v>7.1041016386612698E-6</v>
      </c>
      <c r="Y8" s="190">
        <f>Calc!AN8</f>
        <v>0.8761460351083542</v>
      </c>
      <c r="Z8" s="190">
        <f>Calc!AO8</f>
        <v>1.7919579334358738E-3</v>
      </c>
      <c r="AA8" s="190">
        <f>1+K8/1000</f>
        <v>1.2754729844025505</v>
      </c>
      <c r="AB8" s="190">
        <f>J8/1000</f>
        <v>5.1623325500695712E-4</v>
      </c>
    </row>
    <row r="9" spans="1:28" x14ac:dyDescent="0.25">
      <c r="H9" s="28"/>
      <c r="W9" s="190"/>
      <c r="X9" s="190"/>
      <c r="Y9" s="190"/>
      <c r="Z9" s="190"/>
      <c r="AA9" s="190"/>
      <c r="AB9" s="190"/>
    </row>
    <row r="10" spans="1:28" x14ac:dyDescent="0.25">
      <c r="A10" s="14">
        <f>Input!A10</f>
        <v>10177</v>
      </c>
      <c r="B10" s="14" t="str">
        <f>Input!B10</f>
        <v>LA-10-01 bottom</v>
      </c>
      <c r="C10" s="27">
        <f>Calc!O10*1000</f>
        <v>112.87928026540781</v>
      </c>
      <c r="D10" s="27">
        <f>Calc!P10*1000</f>
        <v>1.2230809030285218E-2</v>
      </c>
      <c r="E10" s="27">
        <f>IF(Calc!X10="","&lt;0.003",Calc!X10)</f>
        <v>0.82466166494662063</v>
      </c>
      <c r="F10" s="27">
        <f>IF(Calc!X10="","",Calc!Y10)</f>
        <v>2.1626132770504029E-3</v>
      </c>
      <c r="G10" s="27">
        <f>Calc!AN10</f>
        <v>1.0282588666832144</v>
      </c>
      <c r="H10" s="28">
        <f>Calc!AO10</f>
        <v>5.6354550889004471E-3</v>
      </c>
      <c r="I10" s="25">
        <f>Calc!AH10</f>
        <v>430.90178553519252</v>
      </c>
      <c r="J10" s="25">
        <f>Calc!AI10</f>
        <v>2.6176044019086122</v>
      </c>
      <c r="K10" s="24">
        <f>Calc!AJ10</f>
        <v>124.60984254708585</v>
      </c>
      <c r="L10" s="24">
        <f>Calc!AK10</f>
        <v>3.7584160606868391</v>
      </c>
      <c r="M10" s="24">
        <f>Calc!BN10</f>
        <v>241.34058504866252</v>
      </c>
      <c r="N10" s="24">
        <f>Calc!BO10</f>
        <v>8.287463690646776</v>
      </c>
      <c r="O10" s="29">
        <f>Calc!AP10</f>
        <v>238.57230000000001</v>
      </c>
      <c r="P10" s="29">
        <f>Calc!AQ10</f>
        <v>5.4702000000000002</v>
      </c>
      <c r="Q10" s="166">
        <f>P10/O10</f>
        <v>2.2928898283664952E-2</v>
      </c>
      <c r="R10" s="29">
        <f>Calc!BH10</f>
        <v>234.2337</v>
      </c>
      <c r="S10" s="29">
        <f>Calc!BJ10</f>
        <v>5.7828919846190807</v>
      </c>
      <c r="T10" s="166">
        <f>S10/R10</f>
        <v>2.4688556704774253E-2</v>
      </c>
      <c r="U10" s="14">
        <f>Input!E10</f>
        <v>0</v>
      </c>
      <c r="W10" s="190">
        <f>Calc!AS10</f>
        <v>2.3904394399483779E-3</v>
      </c>
      <c r="X10" s="190">
        <f>Calc!AT10</f>
        <v>6.2740965037684007E-6</v>
      </c>
      <c r="Y10" s="190">
        <f>Calc!AN10</f>
        <v>1.0282588666832144</v>
      </c>
      <c r="Z10" s="190">
        <f>Calc!AO10</f>
        <v>5.6354550889004471E-3</v>
      </c>
      <c r="AA10" s="190">
        <f>1+K10/1000</f>
        <v>1.1246098425470858</v>
      </c>
      <c r="AB10" s="190">
        <f>J10/1000</f>
        <v>2.6176044019086122E-3</v>
      </c>
    </row>
    <row r="11" spans="1:28" x14ac:dyDescent="0.25">
      <c r="H11" s="28"/>
      <c r="W11" s="190"/>
      <c r="X11" s="190"/>
      <c r="Y11" s="190"/>
      <c r="Z11" s="190"/>
      <c r="AA11" s="190"/>
      <c r="AB11" s="190"/>
    </row>
    <row r="12" spans="1:28" x14ac:dyDescent="0.25">
      <c r="A12" s="14">
        <f>Input!A12</f>
        <v>10178</v>
      </c>
      <c r="B12" s="14" t="str">
        <f>Input!B12</f>
        <v>LA-10-02 bottom</v>
      </c>
      <c r="C12" s="27">
        <f>Calc!O12*1000</f>
        <v>164.88929411477275</v>
      </c>
      <c r="D12" s="27">
        <f>Calc!P12*1000</f>
        <v>1.4362813887779971E-2</v>
      </c>
      <c r="E12" s="27">
        <f>IF(Calc!X12="","&lt;0.003",Calc!X12)</f>
        <v>5.7263936235219894</v>
      </c>
      <c r="F12" s="27">
        <f>IF(Calc!X12="","",Calc!Y12)</f>
        <v>9.5801651379062054E-3</v>
      </c>
      <c r="G12" s="27">
        <f>Calc!AN12</f>
        <v>1.0251086913614651</v>
      </c>
      <c r="H12" s="28">
        <f>Calc!AO12</f>
        <v>1.8585282971892761E-3</v>
      </c>
      <c r="I12" s="25">
        <f>Calc!AH12</f>
        <v>90.139616899721091</v>
      </c>
      <c r="J12" s="25">
        <f>Calc!AI12</f>
        <v>0.22223171215004472</v>
      </c>
      <c r="K12" s="24">
        <f>Calc!AJ12</f>
        <v>134.6592971520939</v>
      </c>
      <c r="L12" s="24">
        <f>Calc!AK12</f>
        <v>3.2107188330259184</v>
      </c>
      <c r="M12" s="24">
        <f>Calc!BN12</f>
        <v>240.61283898397193</v>
      </c>
      <c r="N12" s="24">
        <f>Calc!BO12</f>
        <v>9.1785172701650417</v>
      </c>
      <c r="O12" s="29">
        <f>Calc!AP12</f>
        <v>227.93950000000001</v>
      </c>
      <c r="P12" s="29">
        <f>Calc!AQ12</f>
        <v>2.7724000000000002</v>
      </c>
      <c r="Q12" s="166">
        <f>P12/O12</f>
        <v>1.2162876552769486E-2</v>
      </c>
      <c r="R12" s="29">
        <f>Calc!BH12</f>
        <v>205.68</v>
      </c>
      <c r="S12" s="29">
        <f>Calc!BJ12</f>
        <v>10.52047205115027</v>
      </c>
      <c r="T12" s="166">
        <f>S12/R12</f>
        <v>5.1149708533402706E-2</v>
      </c>
      <c r="U12" s="14">
        <f>Input!E12</f>
        <v>0</v>
      </c>
      <c r="W12" s="190">
        <f>Calc!AS12</f>
        <v>1.1363311430238228E-2</v>
      </c>
      <c r="X12" s="190">
        <f>Calc!AT12</f>
        <v>1.9036389018058786E-5</v>
      </c>
      <c r="Y12" s="190">
        <f>Calc!AN12</f>
        <v>1.0251086913614651</v>
      </c>
      <c r="Z12" s="190">
        <f>Calc!AO12</f>
        <v>1.8585282971892761E-3</v>
      </c>
      <c r="AA12" s="190">
        <f>1+K12/1000</f>
        <v>1.1346592971520939</v>
      </c>
      <c r="AB12" s="190">
        <f>J12/1000</f>
        <v>2.2223171215004473E-4</v>
      </c>
    </row>
    <row r="13" spans="1:28" x14ac:dyDescent="0.25">
      <c r="H13" s="28"/>
      <c r="W13" s="190"/>
      <c r="X13" s="190"/>
      <c r="Y13" s="190"/>
      <c r="Z13" s="190"/>
      <c r="AA13" s="190"/>
      <c r="AB13" s="190"/>
    </row>
    <row r="14" spans="1:28" x14ac:dyDescent="0.25">
      <c r="A14" s="14">
        <f>Input!A14</f>
        <v>10179</v>
      </c>
      <c r="B14" s="14" t="str">
        <f>Input!B14</f>
        <v>LA-10-02 top</v>
      </c>
      <c r="C14" s="27">
        <f>Calc!O14*1000</f>
        <v>334.74438178289302</v>
      </c>
      <c r="D14" s="27">
        <f>Calc!P14*1000</f>
        <v>2.8079353629372059E-2</v>
      </c>
      <c r="E14" s="27">
        <f>IF(Calc!X14="","&lt;0.003",Calc!X14)</f>
        <v>1.6045858617793893</v>
      </c>
      <c r="F14" s="27">
        <f>IF(Calc!X14="","",Calc!Y14)</f>
        <v>2.7404403033613411E-3</v>
      </c>
      <c r="G14" s="27">
        <f>Calc!AN14</f>
        <v>1.0636327305473041</v>
      </c>
      <c r="H14" s="28">
        <f>Calc!AO14</f>
        <v>3.0229122872756078E-3</v>
      </c>
      <c r="I14" s="25">
        <f>Calc!AH14</f>
        <v>675.98768289649888</v>
      </c>
      <c r="J14" s="25">
        <f>Calc!AI14</f>
        <v>2.2406871782049111</v>
      </c>
      <c r="K14" s="24">
        <f>Calc!AJ14</f>
        <v>434.95691625076114</v>
      </c>
      <c r="L14" s="24">
        <f>Calc!AK14</f>
        <v>1.5731824033315587</v>
      </c>
      <c r="M14" s="24">
        <f>Calc!BN14</f>
        <v>629.53623102592894</v>
      </c>
      <c r="N14" s="24">
        <f>Calc!BO14</f>
        <v>3.0722483522828581</v>
      </c>
      <c r="O14" s="29">
        <f>Calc!AP14</f>
        <v>133.1635</v>
      </c>
      <c r="P14" s="29">
        <f>Calc!AQ14</f>
        <v>0.73909999999999998</v>
      </c>
      <c r="Q14" s="166">
        <f>P14/O14</f>
        <v>5.5503197197430227E-3</v>
      </c>
      <c r="R14" s="29">
        <f>Calc!BH14</f>
        <v>131.01650000000001</v>
      </c>
      <c r="S14" s="29">
        <f>Calc!BJ14</f>
        <v>1.1578030349913115</v>
      </c>
      <c r="T14" s="166">
        <f>S14/R14</f>
        <v>8.8370780397225655E-3</v>
      </c>
      <c r="U14" s="14">
        <f>Input!E14</f>
        <v>0</v>
      </c>
      <c r="W14" s="190">
        <f>Calc!AS14</f>
        <v>1.5684325087295529E-3</v>
      </c>
      <c r="X14" s="190">
        <f>Calc!AT14</f>
        <v>2.6819236830911748E-6</v>
      </c>
      <c r="Y14" s="190">
        <f>Calc!AN14</f>
        <v>1.0636327305473041</v>
      </c>
      <c r="Z14" s="190">
        <f>Calc!AO14</f>
        <v>3.0229122872756078E-3</v>
      </c>
      <c r="AA14" s="190">
        <f>1+K14/1000</f>
        <v>1.4349569162507612</v>
      </c>
      <c r="AB14" s="190">
        <f>J14/1000</f>
        <v>2.2406871782049112E-3</v>
      </c>
    </row>
    <row r="15" spans="1:28" x14ac:dyDescent="0.25">
      <c r="H15" s="28"/>
      <c r="W15" s="190"/>
      <c r="X15" s="190"/>
      <c r="Y15" s="190"/>
      <c r="Z15" s="190"/>
      <c r="AA15" s="190"/>
      <c r="AB15" s="190"/>
    </row>
    <row r="16" spans="1:28" x14ac:dyDescent="0.25">
      <c r="A16" s="14">
        <f>Input!A16</f>
        <v>10180</v>
      </c>
      <c r="B16" s="14" t="str">
        <f>Input!B16</f>
        <v>LA-10-03 bottom</v>
      </c>
      <c r="C16" s="27">
        <f>Calc!O16*1000</f>
        <v>331.98735116284826</v>
      </c>
      <c r="D16" s="27">
        <f>Calc!P16*1000</f>
        <v>1.9210759600769824E-2</v>
      </c>
      <c r="E16" s="27">
        <f>IF(Calc!X16="","&lt;0.003",Calc!X16)</f>
        <v>9.8694113821490237E-2</v>
      </c>
      <c r="F16" s="27">
        <f>IF(Calc!X16="","",Calc!Y16)</f>
        <v>2.2103886491993256E-4</v>
      </c>
      <c r="G16" s="27">
        <f>Calc!AN16</f>
        <v>0.42187877638978533</v>
      </c>
      <c r="H16" s="28">
        <f>Calc!AO16</f>
        <v>1.4745712120306218E-3</v>
      </c>
      <c r="I16" s="25">
        <f>Calc!AH16</f>
        <v>4327.3731760744004</v>
      </c>
      <c r="J16" s="25">
        <f>Calc!AI16</f>
        <v>17.962186771247332</v>
      </c>
      <c r="K16" s="24">
        <f>Calc!AJ16</f>
        <v>361.68787499573926</v>
      </c>
      <c r="L16" s="24">
        <f>Calc!AK16</f>
        <v>1.4671554959874049</v>
      </c>
      <c r="M16" s="24">
        <f>Calc!BN16</f>
        <v>404.4336856477625</v>
      </c>
      <c r="N16" s="24">
        <f>Calc!BO16</f>
        <v>1.6542731032524007</v>
      </c>
      <c r="O16" s="29">
        <f>Calc!AP16</f>
        <v>39.736400000000003</v>
      </c>
      <c r="P16" s="29">
        <f>Calc!AQ16</f>
        <v>0.17430000000000001</v>
      </c>
      <c r="Q16" s="166">
        <f>P16/O16</f>
        <v>4.3864064182965743E-3</v>
      </c>
      <c r="R16" s="29">
        <f>Calc!BH16</f>
        <v>39.583199999999998</v>
      </c>
      <c r="S16" s="29">
        <f>Calc!BJ16</f>
        <v>0.18412708934673444</v>
      </c>
      <c r="T16" s="166">
        <f>S16/R16</f>
        <v>4.6516473995719008E-3</v>
      </c>
      <c r="U16" s="14">
        <f>Input!E16</f>
        <v>0</v>
      </c>
      <c r="W16" s="190">
        <f>Calc!AS16</f>
        <v>9.7271560985596258E-5</v>
      </c>
      <c r="X16" s="190">
        <f>Calc!AT16</f>
        <v>2.1792556769354031E-7</v>
      </c>
      <c r="Y16" s="190">
        <f>Calc!AN16</f>
        <v>0.42187877638978533</v>
      </c>
      <c r="Z16" s="190">
        <f>Calc!AO16</f>
        <v>1.4745712120306218E-3</v>
      </c>
      <c r="AA16" s="190">
        <f>1+K16/1000</f>
        <v>1.3616878749957393</v>
      </c>
      <c r="AB16" s="190">
        <f>J16/1000</f>
        <v>1.7962186771247331E-2</v>
      </c>
    </row>
    <row r="17" spans="1:28" x14ac:dyDescent="0.25">
      <c r="H17" s="28"/>
      <c r="W17" s="190"/>
      <c r="X17" s="190"/>
      <c r="Y17" s="190"/>
      <c r="Z17" s="190"/>
      <c r="AA17" s="190"/>
      <c r="AB17" s="190"/>
    </row>
    <row r="18" spans="1:28" x14ac:dyDescent="0.25">
      <c r="A18" s="14">
        <f>Input!A18</f>
        <v>10181</v>
      </c>
      <c r="B18" s="14" t="str">
        <f>Input!B18</f>
        <v>LA-10-03 top</v>
      </c>
      <c r="C18" s="27">
        <f>Calc!O18*1000</f>
        <v>284.17155946977533</v>
      </c>
      <c r="D18" s="27">
        <f>Calc!P18*1000</f>
        <v>2.9061376926594728E-2</v>
      </c>
      <c r="E18" s="27">
        <f>IF(Calc!X18="","&lt;0.003",Calc!X18)</f>
        <v>1.2811305157676358</v>
      </c>
      <c r="F18" s="27">
        <f>IF(Calc!X18="","",Calc!Y18)</f>
        <v>2.8060226074083212E-3</v>
      </c>
      <c r="G18" s="27">
        <f>Calc!AN18</f>
        <v>0.99484432052798466</v>
      </c>
      <c r="H18" s="28">
        <f>Calc!AO18</f>
        <v>3.2492592496669295E-3</v>
      </c>
      <c r="I18" s="25">
        <f>Calc!AH18</f>
        <v>673.62028669387678</v>
      </c>
      <c r="J18" s="25">
        <f>Calc!AI18</f>
        <v>2.6481267460476423</v>
      </c>
      <c r="K18" s="24">
        <f>Calc!AJ18</f>
        <v>283.31240243408274</v>
      </c>
      <c r="L18" s="24">
        <f>Calc!AK18</f>
        <v>1.7885002121861866</v>
      </c>
      <c r="M18" s="24">
        <f>Calc!BN18</f>
        <v>428.43517595426408</v>
      </c>
      <c r="N18" s="24">
        <f>Calc!BO18</f>
        <v>3.2186460830450976</v>
      </c>
      <c r="O18" s="29">
        <f>Calc!AP18</f>
        <v>148.86150000000001</v>
      </c>
      <c r="P18" s="29">
        <f>Calc!AQ18</f>
        <v>1.0628</v>
      </c>
      <c r="Q18" s="166">
        <f>P18/O18</f>
        <v>7.1395223076483839E-3</v>
      </c>
      <c r="R18" s="29">
        <f>Calc!BH18</f>
        <v>146.5558</v>
      </c>
      <c r="S18" s="29">
        <f>Calc!BJ18</f>
        <v>1.4379531101912877</v>
      </c>
      <c r="T18" s="166">
        <f>S18/R18</f>
        <v>9.8116424610372819E-3</v>
      </c>
      <c r="U18" s="14">
        <f>Input!E18</f>
        <v>0</v>
      </c>
      <c r="W18" s="190">
        <f>Calc!AS18</f>
        <v>1.4751253829376138E-3</v>
      </c>
      <c r="X18" s="190">
        <f>Calc!AT18</f>
        <v>3.2344438216065035E-6</v>
      </c>
      <c r="Y18" s="190">
        <f>Calc!AN18</f>
        <v>0.99484432052798466</v>
      </c>
      <c r="Z18" s="190">
        <f>Calc!AO18</f>
        <v>3.2492592496669295E-3</v>
      </c>
      <c r="AA18" s="190">
        <f>1+K18/1000</f>
        <v>1.2833124024340827</v>
      </c>
      <c r="AB18" s="190">
        <f>J18/1000</f>
        <v>2.6481267460476423E-3</v>
      </c>
    </row>
    <row r="19" spans="1:28" x14ac:dyDescent="0.25">
      <c r="H19" s="28"/>
      <c r="W19" s="190"/>
      <c r="X19" s="190"/>
      <c r="Y19" s="190"/>
      <c r="Z19" s="190"/>
      <c r="AA19" s="190"/>
      <c r="AB19" s="190"/>
    </row>
    <row r="20" spans="1:28" x14ac:dyDescent="0.25">
      <c r="A20" s="14">
        <f>Input!A20</f>
        <v>10184</v>
      </c>
      <c r="B20" s="14" t="str">
        <f>Input!B20</f>
        <v>C1 bottom</v>
      </c>
      <c r="C20" s="27">
        <f>Calc!O20*1000</f>
        <v>166.34472038860963</v>
      </c>
      <c r="D20" s="27">
        <f>Calc!P20*1000</f>
        <v>1.6258418996340129E-2</v>
      </c>
      <c r="E20" s="27">
        <f>IF(Calc!X20="","&lt;0.003",Calc!X20)</f>
        <v>8.1382571939026802E-2</v>
      </c>
      <c r="F20" s="27">
        <f>IF(Calc!X20="","",Calc!Y20)</f>
        <v>3.027720652032802E-4</v>
      </c>
      <c r="G20" s="27">
        <f>Calc!AN20</f>
        <v>0.62641991229196881</v>
      </c>
      <c r="H20" s="28">
        <f>Calc!AO20</f>
        <v>2.6284859982706283E-3</v>
      </c>
      <c r="I20" s="25">
        <f>Calc!AH20</f>
        <v>3909.0077177374828</v>
      </c>
      <c r="J20" s="25">
        <f>Calc!AI20</f>
        <v>21.917747608032577</v>
      </c>
      <c r="K20" s="24">
        <f>Calc!AJ20</f>
        <v>178.52893702730776</v>
      </c>
      <c r="L20" s="24">
        <f>Calc!AK20</f>
        <v>2.9886473182741859</v>
      </c>
      <c r="M20" s="24">
        <f>Calc!BN20</f>
        <v>224.02022174656221</v>
      </c>
      <c r="N20" s="24">
        <f>Calc!BO20</f>
        <v>3.7706085248329182</v>
      </c>
      <c r="O20" s="29">
        <f>Calc!AP20</f>
        <v>80.722099999999998</v>
      </c>
      <c r="P20" s="29">
        <f>Calc!AQ20</f>
        <v>0.57940000000000003</v>
      </c>
      <c r="Q20" s="166">
        <f>P20/O20</f>
        <v>7.1777121754761095E-3</v>
      </c>
      <c r="R20" s="29">
        <f>Calc!BH20</f>
        <v>80.432599999999994</v>
      </c>
      <c r="S20" s="29">
        <f>Calc!BJ20</f>
        <v>0.59907200363827118</v>
      </c>
      <c r="T20" s="166">
        <f>S20/R20</f>
        <v>7.448124313254467E-3</v>
      </c>
      <c r="U20" s="14">
        <f>Input!E20</f>
        <v>0</v>
      </c>
      <c r="W20" s="190">
        <f>Calc!AS20</f>
        <v>1.6008054719975995E-4</v>
      </c>
      <c r="X20" s="190">
        <f>Calc!AT20</f>
        <v>5.9576196615620195E-7</v>
      </c>
      <c r="Y20" s="190">
        <f>Calc!AN20</f>
        <v>0.62641991229196881</v>
      </c>
      <c r="Z20" s="190">
        <f>Calc!AO20</f>
        <v>2.6284859982706283E-3</v>
      </c>
      <c r="AA20" s="190">
        <f>1+K20/1000</f>
        <v>1.1785289370273078</v>
      </c>
      <c r="AB20" s="190">
        <f>J20/1000</f>
        <v>2.1917747608032577E-2</v>
      </c>
    </row>
    <row r="21" spans="1:28" x14ac:dyDescent="0.25">
      <c r="H21" s="28"/>
      <c r="W21" s="190"/>
      <c r="X21" s="190"/>
      <c r="Y21" s="190"/>
      <c r="Z21" s="190"/>
      <c r="AA21" s="190"/>
      <c r="AB21" s="190"/>
    </row>
    <row r="22" spans="1:28" x14ac:dyDescent="0.25">
      <c r="A22" s="14">
        <f>Input!A22</f>
        <v>10185</v>
      </c>
      <c r="B22" s="14" t="str">
        <f>Input!B22</f>
        <v>C1 middle</v>
      </c>
      <c r="C22" s="27">
        <f>Calc!O22*1000</f>
        <v>124.32250596817163</v>
      </c>
      <c r="D22" s="27">
        <f>Calc!P22*1000</f>
        <v>1.4941197128101179E-2</v>
      </c>
      <c r="E22" s="27">
        <f>IF(Calc!X22="","&lt;0.003",Calc!X22)</f>
        <v>0.18900418591935148</v>
      </c>
      <c r="F22" s="27">
        <f>IF(Calc!X22="","",Calc!Y22)</f>
        <v>3.529734563462309E-4</v>
      </c>
      <c r="G22" s="27">
        <f>Calc!AN22</f>
        <v>0.58063556105288205</v>
      </c>
      <c r="H22" s="28">
        <f>Calc!AO22</f>
        <v>2.0232187108036852E-3</v>
      </c>
      <c r="I22" s="25">
        <f>Calc!AH22</f>
        <v>1168.0081790007916</v>
      </c>
      <c r="J22" s="25">
        <f>Calc!AI22</f>
        <v>4.6154716343012652</v>
      </c>
      <c r="K22" s="24">
        <f>Calc!AJ22</f>
        <v>219.07946010127864</v>
      </c>
      <c r="L22" s="24">
        <f>Calc!AK22</f>
        <v>2.9998861954336453</v>
      </c>
      <c r="M22" s="24">
        <f>Calc!BN22</f>
        <v>265.46110722739388</v>
      </c>
      <c r="N22" s="24">
        <f>Calc!BO22</f>
        <v>3.6589059224276581</v>
      </c>
      <c r="O22" s="29">
        <f>Calc!AP22</f>
        <v>68.919899999999998</v>
      </c>
      <c r="P22" s="29">
        <f>Calc!AQ22</f>
        <v>0.4123</v>
      </c>
      <c r="Q22" s="166">
        <f>P22/O22</f>
        <v>5.9823069969631411E-3</v>
      </c>
      <c r="R22" s="29">
        <f>Calc!BH22</f>
        <v>68.047399999999996</v>
      </c>
      <c r="S22" s="29">
        <f>Calc!BJ22</f>
        <v>0.54413647800628562</v>
      </c>
      <c r="T22" s="166">
        <f>S22/R22</f>
        <v>7.9964330452932161E-3</v>
      </c>
      <c r="U22" s="14">
        <f>Input!E22</f>
        <v>0</v>
      </c>
      <c r="W22" s="190">
        <f>Calc!AS22</f>
        <v>4.9743671631740998E-4</v>
      </c>
      <c r="X22" s="190">
        <f>Calc!AT22</f>
        <v>9.3090607382927899E-7</v>
      </c>
      <c r="Y22" s="190">
        <f>Calc!AN22</f>
        <v>0.58063556105288205</v>
      </c>
      <c r="Z22" s="190">
        <f>Calc!AO22</f>
        <v>2.0232187108036852E-3</v>
      </c>
      <c r="AA22" s="190">
        <f>1+K22/1000</f>
        <v>1.2190794601012787</v>
      </c>
      <c r="AB22" s="190">
        <f>J22/1000</f>
        <v>4.6154716343012655E-3</v>
      </c>
    </row>
    <row r="23" spans="1:28" x14ac:dyDescent="0.25">
      <c r="H23" s="28"/>
      <c r="W23" s="190"/>
      <c r="X23" s="190"/>
      <c r="Y23" s="190"/>
      <c r="Z23" s="190"/>
      <c r="AA23" s="190"/>
      <c r="AB23" s="190"/>
    </row>
    <row r="24" spans="1:28" x14ac:dyDescent="0.25">
      <c r="H24" s="28"/>
      <c r="W24" s="190"/>
      <c r="X24" s="190"/>
      <c r="Y24" s="190"/>
      <c r="Z24" s="190"/>
      <c r="AA24" s="190"/>
      <c r="AB24" s="190"/>
    </row>
    <row r="25" spans="1:28" x14ac:dyDescent="0.25">
      <c r="H25" s="28"/>
      <c r="W25" s="190"/>
      <c r="X25" s="190"/>
      <c r="Y25" s="190"/>
      <c r="Z25" s="190"/>
      <c r="AA25" s="190"/>
      <c r="AB25" s="190"/>
    </row>
    <row r="26" spans="1:28" x14ac:dyDescent="0.25">
      <c r="A26" s="14" t="str">
        <f>Input!A26</f>
        <v>9368b</v>
      </c>
      <c r="B26" s="14" t="str">
        <f>Input!B26</f>
        <v>LM-AJ15</v>
      </c>
      <c r="C26" s="27">
        <f>Calc!O26*1000</f>
        <v>2086.919391973564</v>
      </c>
      <c r="D26" s="27">
        <f>Calc!P26*1000</f>
        <v>0.35206287959730287</v>
      </c>
      <c r="E26" s="27">
        <f>IF(Calc!X26="","&lt;0.003",Calc!X26)</f>
        <v>40.165046143247444</v>
      </c>
      <c r="F26" s="27">
        <f>IF(Calc!X26="","",Calc!Y26)</f>
        <v>8.5723277327485997E-2</v>
      </c>
      <c r="G26" s="27">
        <f>Calc!AN26</f>
        <v>1.1713972975608378</v>
      </c>
      <c r="H26" s="28">
        <f>Calc!AO26</f>
        <v>3.2182156780822062E-3</v>
      </c>
      <c r="I26" s="25">
        <f>Calc!AH26</f>
        <v>185.85247719897006</v>
      </c>
      <c r="J26" s="25">
        <f>Calc!AI26</f>
        <v>0.64580722675397628</v>
      </c>
      <c r="K26" s="24">
        <f>Calc!AJ26</f>
        <v>163.91260575719403</v>
      </c>
      <c r="L26" s="24">
        <f>Calc!AK26</f>
        <v>2.1597079121128786</v>
      </c>
      <c r="M26" s="24">
        <f>Calc!BN26</f>
        <v>441.21718731216305</v>
      </c>
      <c r="N26" s="24">
        <f>Calc!BO26</f>
        <v>11.599911365205813</v>
      </c>
      <c r="O26" s="29">
        <f>Calc!AP26</f>
        <v>351.23770000000002</v>
      </c>
      <c r="P26" s="29">
        <f>Calc!AQ26</f>
        <v>8.1292000000000009</v>
      </c>
      <c r="Q26" s="166">
        <f>P26/O26</f>
        <v>2.3144440360473834E-2</v>
      </c>
      <c r="R26" s="29">
        <f>Calc!BH26</f>
        <v>350.87979999999999</v>
      </c>
      <c r="S26" s="29">
        <f>Calc!BJ26</f>
        <v>8.033661230775575</v>
      </c>
      <c r="T26" s="166">
        <f>S26/R26</f>
        <v>2.2895764392180957E-2</v>
      </c>
      <c r="U26" s="14">
        <f>Input!E26</f>
        <v>0</v>
      </c>
      <c r="W26" s="190">
        <f>Calc!AS26</f>
        <v>6.2973635546389618E-3</v>
      </c>
      <c r="X26" s="190">
        <f>Calc!AT26</f>
        <v>1.348223018396497E-5</v>
      </c>
      <c r="Y26" s="190">
        <f>Calc!AN26</f>
        <v>1.1713972975608378</v>
      </c>
      <c r="Z26" s="190">
        <f>Calc!AO26</f>
        <v>3.2182156780822062E-3</v>
      </c>
      <c r="AA26" s="190">
        <f>1+K26/1000</f>
        <v>1.163912605757194</v>
      </c>
      <c r="AB26" s="190">
        <f>J26/1000</f>
        <v>6.4580722675397625E-4</v>
      </c>
    </row>
    <row r="27" spans="1:28" x14ac:dyDescent="0.25">
      <c r="H27" s="28"/>
      <c r="W27" s="190"/>
      <c r="X27" s="190"/>
      <c r="Y27" s="190"/>
      <c r="Z27" s="190"/>
      <c r="AA27" s="190"/>
      <c r="AB27" s="190"/>
    </row>
    <row r="28" spans="1:28" x14ac:dyDescent="0.25">
      <c r="A28" s="14" t="str">
        <f>Input!A28</f>
        <v>9368c</v>
      </c>
      <c r="B28" s="14" t="str">
        <f>Input!B28</f>
        <v>LM-AJ15</v>
      </c>
      <c r="C28" s="27">
        <f>Calc!O28*1000</f>
        <v>2010.3940788942355</v>
      </c>
      <c r="D28" s="27">
        <f>Calc!P28*1000</f>
        <v>0.2339620969652374</v>
      </c>
      <c r="E28" s="27">
        <f>IF(Calc!X28="","&lt;0.003",Calc!X28)</f>
        <v>27.806511582248742</v>
      </c>
      <c r="F28" s="27">
        <f>IF(Calc!X28="","",Calc!Y28)</f>
        <v>6.6969946414253523E-2</v>
      </c>
      <c r="G28" s="27">
        <f>Calc!AN28</f>
        <v>1.2015100117306392</v>
      </c>
      <c r="H28" s="28">
        <f>Calc!AO28</f>
        <v>3.0502158044488793E-3</v>
      </c>
      <c r="I28" s="25">
        <f>Calc!AH28</f>
        <v>265.61144495791615</v>
      </c>
      <c r="J28" s="25">
        <f>Calc!AI28</f>
        <v>0.92894655349733157</v>
      </c>
      <c r="K28" s="24">
        <f>Calc!AJ28</f>
        <v>165.70519472153046</v>
      </c>
      <c r="L28" s="24">
        <f>Calc!AK28</f>
        <v>2.3064369333907155</v>
      </c>
      <c r="M28" s="24">
        <f>Calc!BN28</f>
        <v>541.883348481231</v>
      </c>
      <c r="N28" s="24">
        <f>Calc!BO28</f>
        <v>23.367543814169935</v>
      </c>
      <c r="O28" s="29">
        <f>Calc!AP28</f>
        <v>420.08969999999999</v>
      </c>
      <c r="P28" s="29">
        <f>Calc!AQ28</f>
        <v>14.565300000000001</v>
      </c>
      <c r="Q28" s="166">
        <f>P28/O28</f>
        <v>3.4671880791173885E-2</v>
      </c>
      <c r="R28" s="29">
        <f>Calc!BH28</f>
        <v>419.84949999999998</v>
      </c>
      <c r="S28" s="29">
        <f>Calc!BJ28</f>
        <v>14.412372284655694</v>
      </c>
      <c r="T28" s="166">
        <f>S28/R28</f>
        <v>3.4327472784070709E-2</v>
      </c>
      <c r="U28" s="14">
        <f>Input!E28</f>
        <v>0</v>
      </c>
      <c r="W28" s="190">
        <f>Calc!AS28</f>
        <v>4.5256554082543903E-3</v>
      </c>
      <c r="X28" s="190">
        <f>Calc!AT28</f>
        <v>1.0912426817022807E-5</v>
      </c>
      <c r="Y28" s="190">
        <f>Calc!AN28</f>
        <v>1.2015100117306392</v>
      </c>
      <c r="Z28" s="190">
        <f>Calc!AO28</f>
        <v>3.0502158044488793E-3</v>
      </c>
      <c r="AA28" s="190">
        <f>1+K28/1000</f>
        <v>1.1657051947215304</v>
      </c>
      <c r="AB28" s="190">
        <f>J28/1000</f>
        <v>9.2894655349733157E-4</v>
      </c>
    </row>
    <row r="29" spans="1:28" x14ac:dyDescent="0.25">
      <c r="H29" s="28"/>
      <c r="W29" s="190"/>
      <c r="X29" s="190"/>
      <c r="Y29" s="190"/>
      <c r="Z29" s="190"/>
      <c r="AA29" s="190"/>
      <c r="AB29" s="190"/>
    </row>
    <row r="30" spans="1:28" x14ac:dyDescent="0.25">
      <c r="A30" s="14" t="str">
        <f>Input!A30</f>
        <v>9368d</v>
      </c>
      <c r="B30" s="14" t="str">
        <f>Input!B30</f>
        <v>LM-AJ15</v>
      </c>
      <c r="C30" s="27">
        <f>Calc!O30*1000</f>
        <v>2048.2308606464035</v>
      </c>
      <c r="D30" s="27">
        <f>Calc!P30*1000</f>
        <v>0.21321145340886524</v>
      </c>
      <c r="E30" s="27">
        <f>IF(Calc!X30="","&lt;0.003",Calc!X30)</f>
        <v>30.484795409747672</v>
      </c>
      <c r="F30" s="27">
        <f>IF(Calc!X30="","",Calc!Y30)</f>
        <v>6.3558429320066986E-2</v>
      </c>
      <c r="G30" s="27">
        <f>Calc!AN30</f>
        <v>1.1542256223996479</v>
      </c>
      <c r="H30" s="28">
        <f>Calc!AO30</f>
        <v>2.9291564656829432E-3</v>
      </c>
      <c r="I30" s="25">
        <f>Calc!AH30</f>
        <v>236.80621698905688</v>
      </c>
      <c r="J30" s="25">
        <f>Calc!AI30</f>
        <v>0.7773713618615955</v>
      </c>
      <c r="K30" s="24">
        <f>Calc!AJ30</f>
        <v>164.36269537713576</v>
      </c>
      <c r="L30" s="24">
        <f>Calc!AK30</f>
        <v>1.9686546171073838</v>
      </c>
      <c r="M30" s="24">
        <f>Calc!BN30</f>
        <v>407.01520745989455</v>
      </c>
      <c r="N30" s="24">
        <f>Calc!BO30</f>
        <v>8.1408876521516138</v>
      </c>
      <c r="O30" s="29">
        <f>Calc!AP30</f>
        <v>321.6001</v>
      </c>
      <c r="P30" s="29">
        <f>Calc!AQ30</f>
        <v>5.5890000000000004</v>
      </c>
      <c r="Q30" s="166">
        <f>P30/O30</f>
        <v>1.737872593945089E-2</v>
      </c>
      <c r="R30" s="29">
        <f>Calc!BH30</f>
        <v>321.31670000000003</v>
      </c>
      <c r="S30" s="29">
        <f>Calc!BJ30</f>
        <v>5.65567130672612</v>
      </c>
      <c r="T30" s="166">
        <f>S30/R30</f>
        <v>1.7601547964130465E-2</v>
      </c>
      <c r="U30" s="14">
        <f>Input!E30</f>
        <v>0</v>
      </c>
      <c r="W30" s="190">
        <f>Calc!AS30</f>
        <v>4.8699056823627365E-3</v>
      </c>
      <c r="X30" s="190">
        <f>Calc!AT30</f>
        <v>1.0166022060904151E-5</v>
      </c>
      <c r="Y30" s="190">
        <f>Calc!AN30</f>
        <v>1.1542256223996479</v>
      </c>
      <c r="Z30" s="190">
        <f>Calc!AO30</f>
        <v>2.9291564656829432E-3</v>
      </c>
      <c r="AA30" s="190">
        <f>1+K30/1000</f>
        <v>1.1643626953771358</v>
      </c>
      <c r="AB30" s="190">
        <f>J30/1000</f>
        <v>7.7737136186159549E-4</v>
      </c>
    </row>
    <row r="31" spans="1:28" x14ac:dyDescent="0.25">
      <c r="H31" s="28"/>
    </row>
    <row r="32" spans="1:28" x14ac:dyDescent="0.25">
      <c r="H32" s="28"/>
    </row>
    <row r="33" spans="8:8" x14ac:dyDescent="0.25">
      <c r="H33" s="28"/>
    </row>
    <row r="34" spans="8:8" x14ac:dyDescent="0.25">
      <c r="H34" s="28"/>
    </row>
    <row r="35" spans="8:8" x14ac:dyDescent="0.25">
      <c r="H35" s="28"/>
    </row>
    <row r="36" spans="8:8" x14ac:dyDescent="0.25">
      <c r="H36" s="28"/>
    </row>
    <row r="37" spans="8:8" x14ac:dyDescent="0.25">
      <c r="H37" s="28"/>
    </row>
    <row r="38" spans="8:8" x14ac:dyDescent="0.25">
      <c r="H38" s="28"/>
    </row>
    <row r="39" spans="8:8" x14ac:dyDescent="0.25">
      <c r="H39" s="28"/>
    </row>
    <row r="40" spans="8:8" x14ac:dyDescent="0.25">
      <c r="H40" s="28"/>
    </row>
    <row r="41" spans="8:8" x14ac:dyDescent="0.25">
      <c r="H41" s="28"/>
    </row>
    <row r="42" spans="8:8" x14ac:dyDescent="0.25">
      <c r="H42" s="28"/>
    </row>
    <row r="43" spans="8:8" x14ac:dyDescent="0.25">
      <c r="H43" s="28"/>
    </row>
    <row r="44" spans="8:8" x14ac:dyDescent="0.25">
      <c r="H44" s="28"/>
    </row>
    <row r="46" spans="8:8" x14ac:dyDescent="0.25">
      <c r="H46" s="28"/>
    </row>
    <row r="47" spans="8:8" x14ac:dyDescent="0.25">
      <c r="H47" s="28"/>
    </row>
    <row r="48" spans="8:8" x14ac:dyDescent="0.25">
      <c r="H48" s="28"/>
    </row>
    <row r="50" spans="8:8" x14ac:dyDescent="0.25">
      <c r="H50" s="28"/>
    </row>
    <row r="51" spans="8:8" x14ac:dyDescent="0.25">
      <c r="H51" s="28"/>
    </row>
    <row r="52" spans="8:8" x14ac:dyDescent="0.25">
      <c r="H52" s="28"/>
    </row>
    <row r="53" spans="8:8" x14ac:dyDescent="0.25">
      <c r="H53" s="28"/>
    </row>
    <row r="54" spans="8:8" x14ac:dyDescent="0.25">
      <c r="H54" s="28"/>
    </row>
    <row r="55" spans="8:8" x14ac:dyDescent="0.25">
      <c r="H55" s="28"/>
    </row>
    <row r="56" spans="8:8" x14ac:dyDescent="0.25">
      <c r="H56" s="28"/>
    </row>
    <row r="57" spans="8:8" x14ac:dyDescent="0.25">
      <c r="H57" s="28"/>
    </row>
    <row r="58" spans="8:8" x14ac:dyDescent="0.25">
      <c r="H58" s="28"/>
    </row>
    <row r="59" spans="8:8" x14ac:dyDescent="0.25">
      <c r="H59" s="28"/>
    </row>
    <row r="60" spans="8:8" ht="13.5" customHeight="1" x14ac:dyDescent="0.25">
      <c r="H60" s="28"/>
    </row>
    <row r="61" spans="8:8" ht="13.5" customHeight="1" x14ac:dyDescent="0.25"/>
    <row r="62" spans="8:8" ht="13.5" customHeight="1" x14ac:dyDescent="0.25">
      <c r="H62" s="28"/>
    </row>
    <row r="63" spans="8:8" ht="13.5" customHeight="1" x14ac:dyDescent="0.25">
      <c r="H63" s="28"/>
    </row>
    <row r="64" spans="8:8" ht="13.5" customHeight="1" x14ac:dyDescent="0.25">
      <c r="H64" s="28"/>
    </row>
    <row r="65" spans="8:8" ht="13.5" customHeight="1" x14ac:dyDescent="0.25"/>
    <row r="66" spans="8:8" ht="13.5" customHeight="1" x14ac:dyDescent="0.25">
      <c r="H66" s="28"/>
    </row>
    <row r="67" spans="8:8" ht="13.5" customHeight="1" x14ac:dyDescent="0.25">
      <c r="H67" s="28"/>
    </row>
    <row r="68" spans="8:8" ht="13.5" customHeight="1" x14ac:dyDescent="0.25">
      <c r="H68" s="28"/>
    </row>
    <row r="69" spans="8:8" ht="13.5" customHeight="1" x14ac:dyDescent="0.25">
      <c r="H69" s="28"/>
    </row>
    <row r="70" spans="8:8" ht="13.5" customHeight="1" x14ac:dyDescent="0.25">
      <c r="H70" s="28"/>
    </row>
    <row r="71" spans="8:8" ht="13.5" customHeight="1" x14ac:dyDescent="0.25">
      <c r="H71" s="28"/>
    </row>
    <row r="72" spans="8:8" ht="13.5" customHeight="1" x14ac:dyDescent="0.25">
      <c r="H72" s="28"/>
    </row>
    <row r="73" spans="8:8" ht="13.5" customHeight="1" x14ac:dyDescent="0.25">
      <c r="H73" s="28"/>
    </row>
    <row r="74" spans="8:8" ht="13.5" customHeight="1" x14ac:dyDescent="0.25">
      <c r="H74" s="28"/>
    </row>
    <row r="76" spans="8:8" ht="13.5" customHeight="1" x14ac:dyDescent="0.25">
      <c r="H76" s="28"/>
    </row>
    <row r="77" spans="8:8" ht="13.5" customHeight="1" x14ac:dyDescent="0.25"/>
    <row r="78" spans="8:8" ht="13.5" customHeight="1" x14ac:dyDescent="0.25">
      <c r="H78" s="28"/>
    </row>
    <row r="79" spans="8:8" ht="13.5" customHeight="1" x14ac:dyDescent="0.25">
      <c r="H79" s="28"/>
    </row>
    <row r="80" spans="8:8" ht="13.5" customHeight="1" x14ac:dyDescent="0.25">
      <c r="H80" s="28"/>
    </row>
    <row r="81" spans="8:8" ht="13.5" customHeight="1" x14ac:dyDescent="0.25"/>
    <row r="82" spans="8:8" ht="13.5" customHeight="1" x14ac:dyDescent="0.25">
      <c r="H82" s="28"/>
    </row>
    <row r="83" spans="8:8" ht="13.5" customHeight="1" x14ac:dyDescent="0.25">
      <c r="H83" s="28"/>
    </row>
    <row r="84" spans="8:8" ht="13.5" customHeight="1" x14ac:dyDescent="0.25">
      <c r="H84" s="28"/>
    </row>
    <row r="85" spans="8:8" ht="13.5" customHeight="1" x14ac:dyDescent="0.25">
      <c r="H85" s="28"/>
    </row>
    <row r="86" spans="8:8" ht="13.5" customHeight="1" x14ac:dyDescent="0.25">
      <c r="H86" s="28"/>
    </row>
    <row r="87" spans="8:8" ht="13.5" customHeight="1" x14ac:dyDescent="0.25">
      <c r="H87" s="28"/>
    </row>
    <row r="88" spans="8:8" ht="13.5" customHeight="1" x14ac:dyDescent="0.25">
      <c r="H88" s="28"/>
    </row>
    <row r="89" spans="8:8" ht="13.5" customHeight="1" x14ac:dyDescent="0.25">
      <c r="H89" s="28"/>
    </row>
    <row r="90" spans="8:8" ht="13.5" customHeight="1" x14ac:dyDescent="0.25">
      <c r="H90" s="28"/>
    </row>
    <row r="92" spans="8:8" ht="13.5" customHeight="1" x14ac:dyDescent="0.25">
      <c r="H92" s="28"/>
    </row>
    <row r="93" spans="8:8" ht="13.5" customHeight="1" x14ac:dyDescent="0.25"/>
    <row r="94" spans="8:8" ht="13.5" customHeight="1" x14ac:dyDescent="0.25">
      <c r="H94" s="28"/>
    </row>
    <row r="95" spans="8:8" ht="13.5" customHeight="1" x14ac:dyDescent="0.25">
      <c r="H95" s="28"/>
    </row>
    <row r="96" spans="8:8" ht="13.5" customHeight="1" x14ac:dyDescent="0.25">
      <c r="H96" s="28"/>
    </row>
    <row r="97" spans="8:8" ht="13.5" customHeight="1" x14ac:dyDescent="0.25"/>
    <row r="98" spans="8:8" ht="13.5" customHeight="1" x14ac:dyDescent="0.25">
      <c r="H98" s="28"/>
    </row>
    <row r="99" spans="8:8" ht="13.5" customHeight="1" x14ac:dyDescent="0.25">
      <c r="H99" s="28"/>
    </row>
    <row r="100" spans="8:8" ht="13.5" customHeight="1" x14ac:dyDescent="0.25">
      <c r="H100" s="28"/>
    </row>
    <row r="101" spans="8:8" ht="13.5" customHeight="1" x14ac:dyDescent="0.25">
      <c r="H101" s="28"/>
    </row>
    <row r="102" spans="8:8" ht="13.5" customHeight="1" x14ac:dyDescent="0.25">
      <c r="H102" s="28"/>
    </row>
    <row r="103" spans="8:8" ht="13.5" customHeight="1" x14ac:dyDescent="0.25">
      <c r="H103" s="28"/>
    </row>
    <row r="104" spans="8:8" ht="13.5" customHeight="1" x14ac:dyDescent="0.25">
      <c r="H104" s="28"/>
    </row>
    <row r="105" spans="8:8" ht="13.5" customHeight="1" x14ac:dyDescent="0.25">
      <c r="H105" s="28"/>
    </row>
    <row r="106" spans="8:8" ht="13.5" customHeight="1" x14ac:dyDescent="0.25">
      <c r="H106" s="28"/>
    </row>
    <row r="108" spans="8:8" ht="13.5" customHeight="1" x14ac:dyDescent="0.25">
      <c r="H108" s="28"/>
    </row>
    <row r="109" spans="8:8" ht="13.5" customHeight="1" x14ac:dyDescent="0.25"/>
    <row r="110" spans="8:8" ht="13.5" customHeight="1" x14ac:dyDescent="0.25">
      <c r="H110" s="28"/>
    </row>
    <row r="111" spans="8:8" ht="13.5" customHeight="1" x14ac:dyDescent="0.25">
      <c r="H111" s="28"/>
    </row>
    <row r="112" spans="8:8" ht="13.5" customHeight="1" x14ac:dyDescent="0.25">
      <c r="H112" s="28"/>
    </row>
    <row r="113" spans="8:8" ht="13.5" customHeight="1" x14ac:dyDescent="0.25"/>
    <row r="114" spans="8:8" ht="13.5" customHeight="1" x14ac:dyDescent="0.25">
      <c r="H114" s="28"/>
    </row>
    <row r="115" spans="8:8" ht="13.5" customHeight="1" x14ac:dyDescent="0.25">
      <c r="H115" s="28"/>
    </row>
    <row r="116" spans="8:8" ht="13.5" customHeight="1" x14ac:dyDescent="0.25">
      <c r="H116" s="28"/>
    </row>
    <row r="117" spans="8:8" ht="13.5" customHeight="1" x14ac:dyDescent="0.25">
      <c r="H117" s="28"/>
    </row>
    <row r="118" spans="8:8" ht="13.5" customHeight="1" x14ac:dyDescent="0.25">
      <c r="H118" s="28"/>
    </row>
    <row r="119" spans="8:8" ht="13.5" customHeight="1" x14ac:dyDescent="0.25">
      <c r="H119" s="28"/>
    </row>
    <row r="120" spans="8:8" ht="13.5" customHeight="1" x14ac:dyDescent="0.25">
      <c r="H120" s="28"/>
    </row>
    <row r="121" spans="8:8" ht="13.5" customHeight="1" x14ac:dyDescent="0.25"/>
    <row r="122" spans="8:8" ht="13.5" customHeight="1" x14ac:dyDescent="0.25">
      <c r="H122" s="28"/>
    </row>
    <row r="123" spans="8:8" ht="13.5" customHeight="1" x14ac:dyDescent="0.25">
      <c r="H123" s="28"/>
    </row>
    <row r="124" spans="8:8" ht="13.5" customHeight="1" x14ac:dyDescent="0.25">
      <c r="H124" s="28"/>
    </row>
    <row r="125" spans="8:8" ht="13.5" customHeight="1" x14ac:dyDescent="0.25"/>
    <row r="126" spans="8:8" ht="13.5" customHeight="1" x14ac:dyDescent="0.25">
      <c r="H126" s="28"/>
    </row>
    <row r="127" spans="8:8" ht="13.5" customHeight="1" x14ac:dyDescent="0.25">
      <c r="H127" s="28"/>
    </row>
    <row r="128" spans="8:8" ht="13.5" customHeight="1" x14ac:dyDescent="0.25">
      <c r="H128" s="28"/>
    </row>
    <row r="129" spans="8:8" ht="13.5" customHeight="1" x14ac:dyDescent="0.25">
      <c r="H129" s="28"/>
    </row>
    <row r="130" spans="8:8" ht="13.5" customHeight="1" x14ac:dyDescent="0.25">
      <c r="H130" s="28"/>
    </row>
    <row r="131" spans="8:8" ht="13.5" customHeight="1" x14ac:dyDescent="0.25">
      <c r="H131" s="28"/>
    </row>
    <row r="132" spans="8:8" ht="13.5" customHeight="1" x14ac:dyDescent="0.25">
      <c r="H132" s="28"/>
    </row>
    <row r="133" spans="8:8" ht="13.5" customHeight="1" x14ac:dyDescent="0.25"/>
    <row r="134" spans="8:8" ht="13.5" customHeight="1" x14ac:dyDescent="0.25">
      <c r="H134" s="28"/>
    </row>
    <row r="135" spans="8:8" ht="13.5" customHeight="1" x14ac:dyDescent="0.25">
      <c r="H135" s="28"/>
    </row>
    <row r="136" spans="8:8" ht="13.5" customHeight="1" x14ac:dyDescent="0.25">
      <c r="H136" s="28"/>
    </row>
    <row r="137" spans="8:8" ht="13.5" customHeight="1" x14ac:dyDescent="0.25"/>
    <row r="138" spans="8:8" ht="13.5" customHeight="1" x14ac:dyDescent="0.25">
      <c r="H138" s="28"/>
    </row>
    <row r="139" spans="8:8" ht="13.5" customHeight="1" x14ac:dyDescent="0.25">
      <c r="H139" s="28"/>
    </row>
    <row r="140" spans="8:8" ht="13.5" customHeight="1" x14ac:dyDescent="0.25">
      <c r="H140" s="28"/>
    </row>
    <row r="141" spans="8:8" ht="13.5" customHeight="1" x14ac:dyDescent="0.25">
      <c r="H141" s="28"/>
    </row>
    <row r="142" spans="8:8" ht="13.5" customHeight="1" x14ac:dyDescent="0.25">
      <c r="H142" s="28"/>
    </row>
    <row r="143" spans="8:8" ht="13.5" customHeight="1" x14ac:dyDescent="0.25">
      <c r="H143" s="28"/>
    </row>
    <row r="144" spans="8:8" ht="13.5" customHeight="1" x14ac:dyDescent="0.25">
      <c r="H144" s="28"/>
    </row>
    <row r="145" spans="8:8" ht="13.5" customHeight="1" x14ac:dyDescent="0.25"/>
    <row r="146" spans="8:8" ht="13.5" customHeight="1" x14ac:dyDescent="0.25">
      <c r="H146" s="28"/>
    </row>
    <row r="147" spans="8:8" ht="13.5" customHeight="1" x14ac:dyDescent="0.25">
      <c r="H147" s="28"/>
    </row>
    <row r="148" spans="8:8" ht="13.5" customHeight="1" x14ac:dyDescent="0.25">
      <c r="H148" s="28"/>
    </row>
    <row r="149" spans="8:8" ht="13.5" customHeight="1" x14ac:dyDescent="0.25"/>
    <row r="150" spans="8:8" ht="13.5" customHeight="1" x14ac:dyDescent="0.25">
      <c r="H150" s="28"/>
    </row>
    <row r="151" spans="8:8" ht="13.5" customHeight="1" x14ac:dyDescent="0.25">
      <c r="H151" s="28"/>
    </row>
    <row r="152" spans="8:8" ht="13.5" customHeight="1" x14ac:dyDescent="0.25">
      <c r="H152" s="28"/>
    </row>
    <row r="153" spans="8:8" ht="13.5" customHeight="1" x14ac:dyDescent="0.25">
      <c r="H153" s="28"/>
    </row>
    <row r="154" spans="8:8" ht="13.5" customHeight="1" x14ac:dyDescent="0.25">
      <c r="H154" s="28"/>
    </row>
    <row r="155" spans="8:8" ht="13.5" customHeight="1" x14ac:dyDescent="0.25">
      <c r="H155" s="28"/>
    </row>
    <row r="156" spans="8:8" ht="13.5" customHeight="1" x14ac:dyDescent="0.25">
      <c r="H156" s="28"/>
    </row>
    <row r="157" spans="8:8" ht="13.5" customHeight="1" x14ac:dyDescent="0.25"/>
    <row r="158" spans="8:8" ht="13.5" customHeight="1" x14ac:dyDescent="0.25">
      <c r="H158" s="28"/>
    </row>
    <row r="159" spans="8:8" ht="13.5" customHeight="1" x14ac:dyDescent="0.25">
      <c r="H159" s="28"/>
    </row>
    <row r="160" spans="8:8" ht="13.5" customHeight="1" x14ac:dyDescent="0.25">
      <c r="H160" s="28"/>
    </row>
    <row r="161" spans="8:8" ht="13.5" customHeight="1" x14ac:dyDescent="0.25"/>
    <row r="162" spans="8:8" ht="13.5" customHeight="1" x14ac:dyDescent="0.25">
      <c r="H162" s="28"/>
    </row>
    <row r="163" spans="8:8" ht="13.5" customHeight="1" x14ac:dyDescent="0.25">
      <c r="H163" s="28"/>
    </row>
    <row r="164" spans="8:8" ht="13.5" customHeight="1" x14ac:dyDescent="0.25">
      <c r="H164" s="28"/>
    </row>
    <row r="165" spans="8:8" ht="13.5" customHeight="1" x14ac:dyDescent="0.25">
      <c r="H165" s="28"/>
    </row>
    <row r="166" spans="8:8" ht="13.5" customHeight="1" x14ac:dyDescent="0.25">
      <c r="H166" s="28"/>
    </row>
    <row r="167" spans="8:8" ht="13.5" customHeight="1" x14ac:dyDescent="0.25">
      <c r="H167" s="28"/>
    </row>
    <row r="168" spans="8:8" ht="13.5" customHeight="1" x14ac:dyDescent="0.25">
      <c r="H168" s="28"/>
    </row>
    <row r="169" spans="8:8" ht="13.5" customHeight="1" x14ac:dyDescent="0.25"/>
    <row r="170" spans="8:8" ht="13.5" customHeight="1" x14ac:dyDescent="0.25">
      <c r="H170" s="28"/>
    </row>
    <row r="171" spans="8:8" ht="13.5" customHeight="1" x14ac:dyDescent="0.25">
      <c r="H171" s="28"/>
    </row>
    <row r="172" spans="8:8" ht="13.5" customHeight="1" x14ac:dyDescent="0.25">
      <c r="H172" s="28"/>
    </row>
    <row r="173" spans="8:8" ht="13.5" customHeight="1" x14ac:dyDescent="0.25"/>
    <row r="174" spans="8:8" ht="13.5" customHeight="1" x14ac:dyDescent="0.25">
      <c r="H174" s="28"/>
    </row>
    <row r="175" spans="8:8" ht="13.5" customHeight="1" x14ac:dyDescent="0.25">
      <c r="H175" s="28"/>
    </row>
    <row r="176" spans="8:8" ht="13.5" customHeight="1" x14ac:dyDescent="0.25">
      <c r="H176" s="28"/>
    </row>
    <row r="177" spans="8:8" ht="13.5" customHeight="1" x14ac:dyDescent="0.25">
      <c r="H177" s="28"/>
    </row>
    <row r="178" spans="8:8" ht="13.5" customHeight="1" x14ac:dyDescent="0.25">
      <c r="H178" s="28"/>
    </row>
    <row r="179" spans="8:8" ht="13.5" customHeight="1" x14ac:dyDescent="0.25">
      <c r="H179" s="28"/>
    </row>
    <row r="180" spans="8:8" ht="13.5" customHeight="1" x14ac:dyDescent="0.25">
      <c r="H180" s="28"/>
    </row>
    <row r="181" spans="8:8" ht="13.5" customHeight="1" x14ac:dyDescent="0.25"/>
    <row r="182" spans="8:8" ht="13.5" customHeight="1" x14ac:dyDescent="0.25">
      <c r="H182" s="28"/>
    </row>
    <row r="183" spans="8:8" ht="13.5" customHeight="1" x14ac:dyDescent="0.25">
      <c r="H183" s="28"/>
    </row>
    <row r="184" spans="8:8" ht="13.5" customHeight="1" x14ac:dyDescent="0.25">
      <c r="H184" s="28"/>
    </row>
    <row r="185" spans="8:8" ht="13.5" customHeight="1" x14ac:dyDescent="0.25"/>
    <row r="186" spans="8:8" ht="13.5" customHeight="1" x14ac:dyDescent="0.25">
      <c r="H186" s="28"/>
    </row>
    <row r="187" spans="8:8" ht="13.5" customHeight="1" x14ac:dyDescent="0.25">
      <c r="H187" s="28"/>
    </row>
    <row r="188" spans="8:8" ht="13.5" customHeight="1" x14ac:dyDescent="0.25">
      <c r="H188" s="28"/>
    </row>
    <row r="189" spans="8:8" ht="13.5" customHeight="1" x14ac:dyDescent="0.25">
      <c r="H189" s="28"/>
    </row>
    <row r="190" spans="8:8" ht="13.5" customHeight="1" x14ac:dyDescent="0.25">
      <c r="H190" s="28"/>
    </row>
    <row r="191" spans="8:8" ht="13.5" customHeight="1" x14ac:dyDescent="0.25">
      <c r="H191" s="28"/>
    </row>
    <row r="192" spans="8:8" ht="13.5" customHeight="1" x14ac:dyDescent="0.25">
      <c r="H192" s="28"/>
    </row>
    <row r="193" spans="8:8" ht="13.5" customHeight="1" x14ac:dyDescent="0.25"/>
    <row r="194" spans="8:8" ht="13.5" customHeight="1" x14ac:dyDescent="0.25">
      <c r="H194" s="28"/>
    </row>
    <row r="195" spans="8:8" ht="13.5" customHeight="1" x14ac:dyDescent="0.25">
      <c r="H195" s="28"/>
    </row>
    <row r="196" spans="8:8" ht="13.5" customHeight="1" x14ac:dyDescent="0.25">
      <c r="H196" s="28"/>
    </row>
    <row r="197" spans="8:8" ht="13.5" customHeight="1" x14ac:dyDescent="0.25"/>
    <row r="198" spans="8:8" ht="13.5" customHeight="1" x14ac:dyDescent="0.25">
      <c r="H198" s="28"/>
    </row>
    <row r="199" spans="8:8" ht="13.5" customHeight="1" x14ac:dyDescent="0.25">
      <c r="H199" s="28"/>
    </row>
    <row r="200" spans="8:8" ht="13.5" customHeight="1" x14ac:dyDescent="0.25">
      <c r="H200" s="28"/>
    </row>
    <row r="201" spans="8:8" ht="13.5" customHeight="1" x14ac:dyDescent="0.25">
      <c r="H201" s="28"/>
    </row>
    <row r="202" spans="8:8" ht="13.5" customHeight="1" x14ac:dyDescent="0.25">
      <c r="H202" s="28"/>
    </row>
    <row r="203" spans="8:8" ht="13.5" customHeight="1" x14ac:dyDescent="0.25">
      <c r="H203" s="28"/>
    </row>
    <row r="204" spans="8:8" ht="13.5" customHeight="1" x14ac:dyDescent="0.25">
      <c r="H204" s="28"/>
    </row>
    <row r="205" spans="8:8" ht="13.5" customHeight="1" x14ac:dyDescent="0.25"/>
    <row r="206" spans="8:8" ht="13.5" customHeight="1" x14ac:dyDescent="0.25">
      <c r="H206" s="28"/>
    </row>
    <row r="207" spans="8:8" ht="13.5" customHeight="1" x14ac:dyDescent="0.25">
      <c r="H207" s="28"/>
    </row>
    <row r="208" spans="8:8" ht="13.5" customHeight="1" x14ac:dyDescent="0.25">
      <c r="H208" s="28"/>
    </row>
    <row r="209" spans="8:8" ht="13.5" customHeight="1" x14ac:dyDescent="0.25"/>
    <row r="210" spans="8:8" ht="13.5" customHeight="1" x14ac:dyDescent="0.25">
      <c r="H210" s="28"/>
    </row>
    <row r="211" spans="8:8" ht="13.5" customHeight="1" x14ac:dyDescent="0.25">
      <c r="H211" s="28"/>
    </row>
    <row r="212" spans="8:8" ht="13.5" customHeight="1" x14ac:dyDescent="0.25">
      <c r="H212" s="28"/>
    </row>
    <row r="213" spans="8:8" ht="13.5" customHeight="1" x14ac:dyDescent="0.25">
      <c r="H213" s="28"/>
    </row>
    <row r="214" spans="8:8" ht="13.5" customHeight="1" x14ac:dyDescent="0.25">
      <c r="H214" s="28"/>
    </row>
    <row r="215" spans="8:8" ht="13.5" customHeight="1" x14ac:dyDescent="0.25">
      <c r="H215" s="28"/>
    </row>
    <row r="216" spans="8:8" ht="13.5" customHeight="1" x14ac:dyDescent="0.25">
      <c r="H216" s="28"/>
    </row>
    <row r="217" spans="8:8" ht="13.5" customHeight="1" x14ac:dyDescent="0.25"/>
    <row r="218" spans="8:8" ht="13.5" customHeight="1" x14ac:dyDescent="0.25">
      <c r="H218" s="28"/>
    </row>
    <row r="219" spans="8:8" ht="13.5" customHeight="1" x14ac:dyDescent="0.25">
      <c r="H219" s="28"/>
    </row>
    <row r="220" spans="8:8" ht="13.5" customHeight="1" x14ac:dyDescent="0.25">
      <c r="H220" s="28"/>
    </row>
    <row r="221" spans="8:8" ht="13.5" customHeight="1" x14ac:dyDescent="0.25"/>
    <row r="222" spans="8:8" ht="13.5" customHeight="1" x14ac:dyDescent="0.25">
      <c r="H222" s="28"/>
    </row>
    <row r="223" spans="8:8" ht="13.5" customHeight="1" x14ac:dyDescent="0.25">
      <c r="H223" s="28"/>
    </row>
    <row r="224" spans="8:8" ht="13.5" customHeight="1" x14ac:dyDescent="0.25">
      <c r="H224" s="28"/>
    </row>
    <row r="225" spans="8:8" ht="13.5" customHeight="1" x14ac:dyDescent="0.25">
      <c r="H225" s="28"/>
    </row>
    <row r="226" spans="8:8" ht="13.5" customHeight="1" x14ac:dyDescent="0.25">
      <c r="H226" s="28"/>
    </row>
    <row r="227" spans="8:8" ht="13.5" customHeight="1" x14ac:dyDescent="0.25">
      <c r="H227" s="28"/>
    </row>
    <row r="228" spans="8:8" ht="13.5" customHeight="1" x14ac:dyDescent="0.25">
      <c r="H228" s="28"/>
    </row>
    <row r="229" spans="8:8" ht="13.5" customHeight="1" x14ac:dyDescent="0.25"/>
    <row r="230" spans="8:8" ht="13.5" customHeight="1" x14ac:dyDescent="0.25">
      <c r="H230" s="28"/>
    </row>
    <row r="231" spans="8:8" ht="13.5" customHeight="1" x14ac:dyDescent="0.25">
      <c r="H231" s="28"/>
    </row>
    <row r="232" spans="8:8" ht="13.5" customHeight="1" x14ac:dyDescent="0.25">
      <c r="H232" s="28"/>
    </row>
    <row r="233" spans="8:8" ht="13.5" customHeight="1" x14ac:dyDescent="0.25"/>
    <row r="234" spans="8:8" ht="13.5" customHeight="1" x14ac:dyDescent="0.25">
      <c r="H234" s="28"/>
    </row>
    <row r="235" spans="8:8" ht="13.5" customHeight="1" x14ac:dyDescent="0.25">
      <c r="H235" s="28"/>
    </row>
    <row r="236" spans="8:8" ht="13.5" customHeight="1" x14ac:dyDescent="0.25">
      <c r="H236" s="28"/>
    </row>
    <row r="237" spans="8:8" ht="13.5" customHeight="1" x14ac:dyDescent="0.25">
      <c r="H237" s="28"/>
    </row>
    <row r="238" spans="8:8" ht="13.5" customHeight="1" x14ac:dyDescent="0.25">
      <c r="H238" s="28"/>
    </row>
    <row r="239" spans="8:8" ht="13.5" customHeight="1" x14ac:dyDescent="0.25">
      <c r="H239" s="28"/>
    </row>
    <row r="240" spans="8:8" ht="13.5" customHeight="1" x14ac:dyDescent="0.25">
      <c r="H240" s="28"/>
    </row>
    <row r="241" spans="8:8" ht="13.5" customHeight="1" x14ac:dyDescent="0.25"/>
    <row r="242" spans="8:8" ht="13.5" customHeight="1" x14ac:dyDescent="0.25">
      <c r="H242" s="28"/>
    </row>
    <row r="243" spans="8:8" ht="13.5" customHeight="1" x14ac:dyDescent="0.25">
      <c r="H243" s="28"/>
    </row>
    <row r="244" spans="8:8" ht="13.5" customHeight="1" x14ac:dyDescent="0.25">
      <c r="H244" s="28"/>
    </row>
    <row r="245" spans="8:8" ht="13.5" customHeight="1" x14ac:dyDescent="0.25"/>
    <row r="246" spans="8:8" ht="13.5" customHeight="1" x14ac:dyDescent="0.25">
      <c r="H246" s="28"/>
    </row>
    <row r="247" spans="8:8" ht="13.5" customHeight="1" x14ac:dyDescent="0.25">
      <c r="H247" s="28"/>
    </row>
    <row r="248" spans="8:8" ht="13.5" customHeight="1" x14ac:dyDescent="0.25">
      <c r="H248" s="28"/>
    </row>
    <row r="249" spans="8:8" ht="13.5" customHeight="1" x14ac:dyDescent="0.25">
      <c r="H249" s="28"/>
    </row>
    <row r="250" spans="8:8" ht="13.5" customHeight="1" x14ac:dyDescent="0.25">
      <c r="H250" s="28"/>
    </row>
    <row r="251" spans="8:8" ht="13.5" customHeight="1" x14ac:dyDescent="0.25">
      <c r="H251" s="28"/>
    </row>
    <row r="252" spans="8:8" ht="13.5" customHeight="1" x14ac:dyDescent="0.25">
      <c r="H252" s="28"/>
    </row>
    <row r="253" spans="8:8" ht="13.5" customHeight="1" x14ac:dyDescent="0.25"/>
    <row r="254" spans="8:8" ht="13.5" customHeight="1" x14ac:dyDescent="0.25">
      <c r="H254" s="28"/>
    </row>
    <row r="255" spans="8:8" ht="13.5" customHeight="1" x14ac:dyDescent="0.25">
      <c r="H255" s="28"/>
    </row>
    <row r="256" spans="8:8" ht="13.5" customHeight="1" x14ac:dyDescent="0.25">
      <c r="H256" s="28"/>
    </row>
    <row r="257" spans="8:8" ht="13.5" customHeight="1" x14ac:dyDescent="0.25"/>
    <row r="258" spans="8:8" ht="13.5" customHeight="1" x14ac:dyDescent="0.25">
      <c r="H258" s="28"/>
    </row>
    <row r="259" spans="8:8" ht="13.5" customHeight="1" x14ac:dyDescent="0.25">
      <c r="H259" s="28"/>
    </row>
    <row r="260" spans="8:8" ht="13.5" customHeight="1" x14ac:dyDescent="0.25">
      <c r="H260" s="28"/>
    </row>
    <row r="261" spans="8:8" ht="13.5" customHeight="1" x14ac:dyDescent="0.25">
      <c r="H261" s="28"/>
    </row>
    <row r="262" spans="8:8" ht="13.5" customHeight="1" x14ac:dyDescent="0.25">
      <c r="H262" s="28"/>
    </row>
    <row r="263" spans="8:8" ht="13.5" customHeight="1" x14ac:dyDescent="0.25">
      <c r="H263" s="28"/>
    </row>
    <row r="264" spans="8:8" ht="13.5" customHeight="1" x14ac:dyDescent="0.25">
      <c r="H264" s="28"/>
    </row>
    <row r="265" spans="8:8" ht="13.5" customHeight="1" x14ac:dyDescent="0.25"/>
    <row r="266" spans="8:8" ht="13.5" customHeight="1" x14ac:dyDescent="0.25">
      <c r="H266" s="28"/>
    </row>
    <row r="267" spans="8:8" ht="13.5" customHeight="1" x14ac:dyDescent="0.25">
      <c r="H267" s="28"/>
    </row>
    <row r="268" spans="8:8" ht="13.5" customHeight="1" x14ac:dyDescent="0.25">
      <c r="H268" s="28"/>
    </row>
    <row r="269" spans="8:8" ht="13.5" customHeight="1" x14ac:dyDescent="0.25"/>
    <row r="270" spans="8:8" ht="13.5" customHeight="1" x14ac:dyDescent="0.25">
      <c r="H270" s="28"/>
    </row>
    <row r="271" spans="8:8" ht="13.5" customHeight="1" x14ac:dyDescent="0.25">
      <c r="H271" s="28"/>
    </row>
    <row r="272" spans="8:8" ht="13.5" customHeight="1" x14ac:dyDescent="0.25">
      <c r="H272" s="28"/>
    </row>
    <row r="273" spans="8:8" ht="13.5" customHeight="1" x14ac:dyDescent="0.25">
      <c r="H273" s="28"/>
    </row>
    <row r="274" spans="8:8" ht="13.5" customHeight="1" x14ac:dyDescent="0.25">
      <c r="H274" s="28"/>
    </row>
    <row r="275" spans="8:8" ht="13.5" customHeight="1" x14ac:dyDescent="0.25">
      <c r="H275" s="28"/>
    </row>
    <row r="276" spans="8:8" ht="13.5" customHeight="1" x14ac:dyDescent="0.25">
      <c r="H276" s="28"/>
    </row>
    <row r="277" spans="8:8" ht="13.5" customHeight="1" x14ac:dyDescent="0.25"/>
    <row r="278" spans="8:8" ht="13.5" customHeight="1" x14ac:dyDescent="0.25">
      <c r="H278" s="28"/>
    </row>
    <row r="279" spans="8:8" ht="13.5" customHeight="1" x14ac:dyDescent="0.25">
      <c r="H279" s="28"/>
    </row>
    <row r="280" spans="8:8" ht="13.5" customHeight="1" x14ac:dyDescent="0.25">
      <c r="H280" s="28"/>
    </row>
    <row r="281" spans="8:8" ht="13.5" customHeight="1" x14ac:dyDescent="0.25"/>
    <row r="282" spans="8:8" ht="13.5" customHeight="1" x14ac:dyDescent="0.25">
      <c r="H282" s="28"/>
    </row>
    <row r="283" spans="8:8" ht="13.5" customHeight="1" x14ac:dyDescent="0.25">
      <c r="H283" s="28"/>
    </row>
    <row r="284" spans="8:8" ht="13.5" customHeight="1" x14ac:dyDescent="0.25">
      <c r="H284" s="28"/>
    </row>
    <row r="285" spans="8:8" ht="13.5" customHeight="1" x14ac:dyDescent="0.25">
      <c r="H285" s="28"/>
    </row>
    <row r="286" spans="8:8" ht="13.5" customHeight="1" x14ac:dyDescent="0.25">
      <c r="H286" s="28"/>
    </row>
    <row r="287" spans="8:8" ht="13.5" customHeight="1" x14ac:dyDescent="0.25">
      <c r="H287" s="28"/>
    </row>
    <row r="288" spans="8:8" ht="13.5" customHeight="1" x14ac:dyDescent="0.25">
      <c r="H288" s="28"/>
    </row>
    <row r="289" spans="8:8" ht="13.5" customHeight="1" x14ac:dyDescent="0.25"/>
    <row r="290" spans="8:8" ht="13.5" customHeight="1" x14ac:dyDescent="0.25">
      <c r="H290" s="28"/>
    </row>
    <row r="291" spans="8:8" ht="13.5" customHeight="1" x14ac:dyDescent="0.25">
      <c r="H291" s="28"/>
    </row>
    <row r="292" spans="8:8" ht="13.5" customHeight="1" x14ac:dyDescent="0.25">
      <c r="H292" s="28"/>
    </row>
    <row r="293" spans="8:8" ht="13.5" customHeight="1" x14ac:dyDescent="0.25"/>
    <row r="294" spans="8:8" ht="13.5" customHeight="1" x14ac:dyDescent="0.25">
      <c r="H294" s="28"/>
    </row>
    <row r="295" spans="8:8" ht="13.5" customHeight="1" x14ac:dyDescent="0.25">
      <c r="H295" s="28"/>
    </row>
    <row r="296" spans="8:8" ht="13.5" customHeight="1" x14ac:dyDescent="0.25">
      <c r="H296" s="28"/>
    </row>
    <row r="297" spans="8:8" ht="13.5" customHeight="1" x14ac:dyDescent="0.25">
      <c r="H297" s="28"/>
    </row>
    <row r="298" spans="8:8" ht="13.5" customHeight="1" x14ac:dyDescent="0.25">
      <c r="H298" s="28"/>
    </row>
    <row r="299" spans="8:8" ht="13.5" customHeight="1" x14ac:dyDescent="0.25">
      <c r="H299" s="28"/>
    </row>
    <row r="300" spans="8:8" ht="13.5" customHeight="1" x14ac:dyDescent="0.25">
      <c r="H300" s="28"/>
    </row>
    <row r="301" spans="8:8" ht="13.5" customHeight="1" x14ac:dyDescent="0.25"/>
    <row r="302" spans="8:8" ht="13.5" customHeight="1" x14ac:dyDescent="0.25">
      <c r="H302" s="28"/>
    </row>
    <row r="303" spans="8:8" ht="13.5" customHeight="1" x14ac:dyDescent="0.25">
      <c r="H303" s="28"/>
    </row>
    <row r="304" spans="8:8" ht="13.5" customHeight="1" x14ac:dyDescent="0.25">
      <c r="H304" s="28"/>
    </row>
    <row r="305" spans="8:8" ht="13.5" customHeight="1" x14ac:dyDescent="0.25"/>
    <row r="306" spans="8:8" ht="13.5" customHeight="1" x14ac:dyDescent="0.25">
      <c r="H306" s="28"/>
    </row>
    <row r="307" spans="8:8" ht="13.5" customHeight="1" x14ac:dyDescent="0.25">
      <c r="H307" s="28"/>
    </row>
    <row r="308" spans="8:8" ht="13.5" customHeight="1" x14ac:dyDescent="0.25">
      <c r="H308" s="28"/>
    </row>
    <row r="309" spans="8:8" ht="13.5" customHeight="1" x14ac:dyDescent="0.25">
      <c r="H309" s="28"/>
    </row>
    <row r="310" spans="8:8" ht="13.5" customHeight="1" x14ac:dyDescent="0.25">
      <c r="H310" s="28"/>
    </row>
    <row r="311" spans="8:8" ht="13.5" customHeight="1" x14ac:dyDescent="0.25">
      <c r="H311" s="28"/>
    </row>
    <row r="312" spans="8:8" ht="13.5" customHeight="1" x14ac:dyDescent="0.25">
      <c r="H312" s="28"/>
    </row>
    <row r="313" spans="8:8" ht="13.5" customHeight="1" x14ac:dyDescent="0.25"/>
    <row r="314" spans="8:8" ht="13.5" customHeight="1" x14ac:dyDescent="0.25">
      <c r="H314" s="28"/>
    </row>
    <row r="315" spans="8:8" ht="13.5" customHeight="1" x14ac:dyDescent="0.25">
      <c r="H315" s="28"/>
    </row>
    <row r="316" spans="8:8" ht="13.5" customHeight="1" x14ac:dyDescent="0.25">
      <c r="H316" s="28"/>
    </row>
    <row r="317" spans="8:8" ht="13.5" customHeight="1" x14ac:dyDescent="0.25"/>
    <row r="318" spans="8:8" ht="13.5" customHeight="1" x14ac:dyDescent="0.25">
      <c r="H318" s="28"/>
    </row>
    <row r="319" spans="8:8" ht="13.5" customHeight="1" x14ac:dyDescent="0.25">
      <c r="H319" s="28"/>
    </row>
    <row r="320" spans="8:8" ht="13.5" customHeight="1" x14ac:dyDescent="0.25">
      <c r="H320" s="28"/>
    </row>
    <row r="321" spans="8:8" ht="13.5" customHeight="1" x14ac:dyDescent="0.25">
      <c r="H321" s="28"/>
    </row>
    <row r="322" spans="8:8" ht="13.5" customHeight="1" x14ac:dyDescent="0.25">
      <c r="H322" s="28"/>
    </row>
    <row r="323" spans="8:8" ht="13.5" customHeight="1" x14ac:dyDescent="0.25">
      <c r="H323" s="28"/>
    </row>
    <row r="324" spans="8:8" ht="13.5" customHeight="1" x14ac:dyDescent="0.25">
      <c r="H324" s="28"/>
    </row>
    <row r="325" spans="8:8" ht="13.5" customHeight="1" x14ac:dyDescent="0.25"/>
    <row r="326" spans="8:8" ht="13.5" customHeight="1" x14ac:dyDescent="0.25">
      <c r="H326" s="28"/>
    </row>
    <row r="327" spans="8:8" ht="13.5" customHeight="1" x14ac:dyDescent="0.25">
      <c r="H327" s="28"/>
    </row>
    <row r="328" spans="8:8" ht="13.5" customHeight="1" x14ac:dyDescent="0.25">
      <c r="H328" s="28"/>
    </row>
    <row r="329" spans="8:8" ht="13.5" customHeight="1" x14ac:dyDescent="0.25"/>
    <row r="330" spans="8:8" ht="13.5" customHeight="1" x14ac:dyDescent="0.25">
      <c r="H330" s="28"/>
    </row>
    <row r="331" spans="8:8" ht="13.5" customHeight="1" x14ac:dyDescent="0.25">
      <c r="H331" s="28"/>
    </row>
    <row r="332" spans="8:8" ht="13.5" customHeight="1" x14ac:dyDescent="0.25">
      <c r="H332" s="28"/>
    </row>
    <row r="333" spans="8:8" ht="13.5" customHeight="1" x14ac:dyDescent="0.25">
      <c r="H333" s="28"/>
    </row>
    <row r="334" spans="8:8" ht="13.5" customHeight="1" x14ac:dyDescent="0.25">
      <c r="H334" s="28"/>
    </row>
    <row r="335" spans="8:8" ht="13.5" customHeight="1" x14ac:dyDescent="0.25">
      <c r="H335" s="28"/>
    </row>
    <row r="336" spans="8:8" ht="13.5" customHeight="1" x14ac:dyDescent="0.25">
      <c r="H336" s="28"/>
    </row>
    <row r="337" spans="8:8" ht="13.5" customHeight="1" x14ac:dyDescent="0.25"/>
    <row r="338" spans="8:8" ht="13.5" customHeight="1" x14ac:dyDescent="0.25">
      <c r="H338" s="28"/>
    </row>
    <row r="339" spans="8:8" ht="13.5" customHeight="1" x14ac:dyDescent="0.25">
      <c r="H339" s="28"/>
    </row>
    <row r="340" spans="8:8" ht="13.5" customHeight="1" x14ac:dyDescent="0.25">
      <c r="H340" s="28"/>
    </row>
    <row r="341" spans="8:8" ht="13.5" customHeight="1" x14ac:dyDescent="0.25"/>
    <row r="342" spans="8:8" ht="13.5" customHeight="1" x14ac:dyDescent="0.25">
      <c r="H342" s="28"/>
    </row>
    <row r="343" spans="8:8" ht="13.5" customHeight="1" x14ac:dyDescent="0.25">
      <c r="H343" s="28"/>
    </row>
    <row r="344" spans="8:8" ht="13.5" customHeight="1" x14ac:dyDescent="0.25">
      <c r="H344" s="28"/>
    </row>
    <row r="345" spans="8:8" ht="13.5" customHeight="1" x14ac:dyDescent="0.25">
      <c r="H345" s="28"/>
    </row>
    <row r="346" spans="8:8" ht="13.5" customHeight="1" x14ac:dyDescent="0.25">
      <c r="H346" s="28"/>
    </row>
    <row r="347" spans="8:8" ht="13.5" customHeight="1" x14ac:dyDescent="0.25">
      <c r="H347" s="28"/>
    </row>
    <row r="348" spans="8:8" ht="13.5" customHeight="1" x14ac:dyDescent="0.25">
      <c r="H348" s="28"/>
    </row>
    <row r="352" spans="8:8" ht="13.5" customHeight="1" x14ac:dyDescent="0.25">
      <c r="H352" s="28"/>
    </row>
    <row r="353" spans="8:8" ht="13.5" customHeight="1" x14ac:dyDescent="0.25">
      <c r="H353" s="28"/>
    </row>
    <row r="354" spans="8:8" ht="13.5" customHeight="1" x14ac:dyDescent="0.25">
      <c r="H354" s="28"/>
    </row>
    <row r="355" spans="8:8" ht="13.5" customHeight="1" x14ac:dyDescent="0.25">
      <c r="H355" s="28"/>
    </row>
    <row r="356" spans="8:8" ht="13.5" customHeight="1" x14ac:dyDescent="0.25">
      <c r="H356" s="28"/>
    </row>
    <row r="357" spans="8:8" ht="13.5" customHeight="1" x14ac:dyDescent="0.25">
      <c r="H357" s="28"/>
    </row>
    <row r="358" spans="8:8" ht="13.5" customHeight="1" x14ac:dyDescent="0.25">
      <c r="H358" s="28"/>
    </row>
    <row r="360" spans="8:8" ht="13.5" customHeight="1" x14ac:dyDescent="0.25">
      <c r="H360" s="28"/>
    </row>
    <row r="361" spans="8:8" ht="13.5" customHeight="1" x14ac:dyDescent="0.25">
      <c r="H361" s="28"/>
    </row>
    <row r="362" spans="8:8" ht="13.5" customHeight="1" x14ac:dyDescent="0.25">
      <c r="H362" s="28"/>
    </row>
    <row r="363" spans="8:8" ht="13.5" customHeight="1" x14ac:dyDescent="0.25">
      <c r="H363" s="28"/>
    </row>
    <row r="364" spans="8:8" ht="13.5" customHeight="1" x14ac:dyDescent="0.25">
      <c r="H364" s="28"/>
    </row>
    <row r="365" spans="8:8" ht="13.5" customHeight="1" x14ac:dyDescent="0.25">
      <c r="H365" s="28"/>
    </row>
    <row r="366" spans="8:8" ht="13.5" customHeight="1" x14ac:dyDescent="0.25">
      <c r="H366" s="28"/>
    </row>
    <row r="367" spans="8:8" ht="13.5" customHeight="1" x14ac:dyDescent="0.25">
      <c r="H367" s="28"/>
    </row>
    <row r="368" spans="8:8" ht="13.5" customHeight="1" x14ac:dyDescent="0.25">
      <c r="H368" s="28"/>
    </row>
    <row r="369" spans="8:8" ht="13.5" customHeight="1" x14ac:dyDescent="0.25">
      <c r="H369" s="28"/>
    </row>
    <row r="370" spans="8:8" ht="13.5" customHeight="1" x14ac:dyDescent="0.25">
      <c r="H370" s="28"/>
    </row>
    <row r="371" spans="8:8" ht="13.5" customHeight="1" x14ac:dyDescent="0.25">
      <c r="H371" s="28"/>
    </row>
    <row r="372" spans="8:8" ht="13.5" customHeight="1" x14ac:dyDescent="0.25">
      <c r="H372" s="28"/>
    </row>
    <row r="374" spans="8:8" ht="13.5" customHeight="1" x14ac:dyDescent="0.25">
      <c r="H374" s="28"/>
    </row>
    <row r="375" spans="8:8" ht="13.5" customHeight="1" x14ac:dyDescent="0.25">
      <c r="H375" s="28"/>
    </row>
    <row r="376" spans="8:8" ht="13.5" customHeight="1" x14ac:dyDescent="0.25">
      <c r="H376" s="28"/>
    </row>
    <row r="377" spans="8:8" ht="13.5" customHeight="1" x14ac:dyDescent="0.25">
      <c r="H377" s="28"/>
    </row>
    <row r="378" spans="8:8" ht="13.5" customHeight="1" x14ac:dyDescent="0.25">
      <c r="H378" s="28"/>
    </row>
    <row r="379" spans="8:8" ht="13.5" customHeight="1" x14ac:dyDescent="0.25">
      <c r="H379" s="28"/>
    </row>
    <row r="380" spans="8:8" ht="13.5" customHeight="1" x14ac:dyDescent="0.25">
      <c r="H380" s="28"/>
    </row>
    <row r="381" spans="8:8" ht="13.5" customHeight="1" x14ac:dyDescent="0.25">
      <c r="H381" s="28"/>
    </row>
    <row r="382" spans="8:8" ht="13.5" customHeight="1" x14ac:dyDescent="0.25">
      <c r="H382" s="28"/>
    </row>
    <row r="384" spans="8:8" ht="13.5" customHeight="1" x14ac:dyDescent="0.25">
      <c r="H384" s="28"/>
    </row>
    <row r="385" spans="8:8" ht="13.5" customHeight="1" x14ac:dyDescent="0.25">
      <c r="H385" s="28"/>
    </row>
    <row r="386" spans="8:8" ht="13.5" customHeight="1" x14ac:dyDescent="0.25">
      <c r="H386" s="28"/>
    </row>
  </sheetData>
  <phoneticPr fontId="3" type="noConversion"/>
  <pageMargins left="0.78740157499999996" right="0.78740157499999996" top="0.984251969" bottom="0.984251969" header="0.4921259845" footer="0.492125984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5"/>
  <dimension ref="A1:L30"/>
  <sheetViews>
    <sheetView workbookViewId="0">
      <selection activeCell="D27" sqref="D27"/>
    </sheetView>
  </sheetViews>
  <sheetFormatPr baseColWidth="10" defaultRowHeight="12.75" x14ac:dyDescent="0.2"/>
  <cols>
    <col min="1" max="1" width="19.42578125" bestFit="1" customWidth="1"/>
    <col min="2" max="2" width="16.85546875" customWidth="1"/>
    <col min="3" max="3" width="14.7109375" customWidth="1"/>
    <col min="4" max="4" width="17.42578125" customWidth="1"/>
    <col min="5" max="5" width="84.5703125" customWidth="1"/>
    <col min="8" max="8" width="12.42578125" bestFit="1" customWidth="1"/>
    <col min="257" max="257" width="19.42578125" bestFit="1" customWidth="1"/>
    <col min="258" max="258" width="15.42578125" customWidth="1"/>
    <col min="259" max="259" width="14.7109375" customWidth="1"/>
    <col min="260" max="260" width="17.42578125" customWidth="1"/>
    <col min="513" max="513" width="19.42578125" bestFit="1" customWidth="1"/>
    <col min="514" max="514" width="15.42578125" customWidth="1"/>
    <col min="515" max="515" width="14.7109375" customWidth="1"/>
    <col min="516" max="516" width="17.42578125" customWidth="1"/>
    <col min="769" max="769" width="19.42578125" bestFit="1" customWidth="1"/>
    <col min="770" max="770" width="15.42578125" customWidth="1"/>
    <col min="771" max="771" width="14.7109375" customWidth="1"/>
    <col min="772" max="772" width="17.42578125" customWidth="1"/>
    <col min="1025" max="1025" width="19.42578125" bestFit="1" customWidth="1"/>
    <col min="1026" max="1026" width="15.42578125" customWidth="1"/>
    <col min="1027" max="1027" width="14.7109375" customWidth="1"/>
    <col min="1028" max="1028" width="17.42578125" customWidth="1"/>
    <col min="1281" max="1281" width="19.42578125" bestFit="1" customWidth="1"/>
    <col min="1282" max="1282" width="15.42578125" customWidth="1"/>
    <col min="1283" max="1283" width="14.7109375" customWidth="1"/>
    <col min="1284" max="1284" width="17.42578125" customWidth="1"/>
    <col min="1537" max="1537" width="19.42578125" bestFit="1" customWidth="1"/>
    <col min="1538" max="1538" width="15.42578125" customWidth="1"/>
    <col min="1539" max="1539" width="14.7109375" customWidth="1"/>
    <col min="1540" max="1540" width="17.42578125" customWidth="1"/>
    <col min="1793" max="1793" width="19.42578125" bestFit="1" customWidth="1"/>
    <col min="1794" max="1794" width="15.42578125" customWidth="1"/>
    <col min="1795" max="1795" width="14.7109375" customWidth="1"/>
    <col min="1796" max="1796" width="17.42578125" customWidth="1"/>
    <col min="2049" max="2049" width="19.42578125" bestFit="1" customWidth="1"/>
    <col min="2050" max="2050" width="15.42578125" customWidth="1"/>
    <col min="2051" max="2051" width="14.7109375" customWidth="1"/>
    <col min="2052" max="2052" width="17.42578125" customWidth="1"/>
    <col min="2305" max="2305" width="19.42578125" bestFit="1" customWidth="1"/>
    <col min="2306" max="2306" width="15.42578125" customWidth="1"/>
    <col min="2307" max="2307" width="14.7109375" customWidth="1"/>
    <col min="2308" max="2308" width="17.42578125" customWidth="1"/>
    <col min="2561" max="2561" width="19.42578125" bestFit="1" customWidth="1"/>
    <col min="2562" max="2562" width="15.42578125" customWidth="1"/>
    <col min="2563" max="2563" width="14.7109375" customWidth="1"/>
    <col min="2564" max="2564" width="17.42578125" customWidth="1"/>
    <col min="2817" max="2817" width="19.42578125" bestFit="1" customWidth="1"/>
    <col min="2818" max="2818" width="15.42578125" customWidth="1"/>
    <col min="2819" max="2819" width="14.7109375" customWidth="1"/>
    <col min="2820" max="2820" width="17.42578125" customWidth="1"/>
    <col min="3073" max="3073" width="19.42578125" bestFit="1" customWidth="1"/>
    <col min="3074" max="3074" width="15.42578125" customWidth="1"/>
    <col min="3075" max="3075" width="14.7109375" customWidth="1"/>
    <col min="3076" max="3076" width="17.42578125" customWidth="1"/>
    <col min="3329" max="3329" width="19.42578125" bestFit="1" customWidth="1"/>
    <col min="3330" max="3330" width="15.42578125" customWidth="1"/>
    <col min="3331" max="3331" width="14.7109375" customWidth="1"/>
    <col min="3332" max="3332" width="17.42578125" customWidth="1"/>
    <col min="3585" max="3585" width="19.42578125" bestFit="1" customWidth="1"/>
    <col min="3586" max="3586" width="15.42578125" customWidth="1"/>
    <col min="3587" max="3587" width="14.7109375" customWidth="1"/>
    <col min="3588" max="3588" width="17.42578125" customWidth="1"/>
    <col min="3841" max="3841" width="19.42578125" bestFit="1" customWidth="1"/>
    <col min="3842" max="3842" width="15.42578125" customWidth="1"/>
    <col min="3843" max="3843" width="14.7109375" customWidth="1"/>
    <col min="3844" max="3844" width="17.42578125" customWidth="1"/>
    <col min="4097" max="4097" width="19.42578125" bestFit="1" customWidth="1"/>
    <col min="4098" max="4098" width="15.42578125" customWidth="1"/>
    <col min="4099" max="4099" width="14.7109375" customWidth="1"/>
    <col min="4100" max="4100" width="17.42578125" customWidth="1"/>
    <col min="4353" max="4353" width="19.42578125" bestFit="1" customWidth="1"/>
    <col min="4354" max="4354" width="15.42578125" customWidth="1"/>
    <col min="4355" max="4355" width="14.7109375" customWidth="1"/>
    <col min="4356" max="4356" width="17.42578125" customWidth="1"/>
    <col min="4609" max="4609" width="19.42578125" bestFit="1" customWidth="1"/>
    <col min="4610" max="4610" width="15.42578125" customWidth="1"/>
    <col min="4611" max="4611" width="14.7109375" customWidth="1"/>
    <col min="4612" max="4612" width="17.42578125" customWidth="1"/>
    <col min="4865" max="4865" width="19.42578125" bestFit="1" customWidth="1"/>
    <col min="4866" max="4866" width="15.42578125" customWidth="1"/>
    <col min="4867" max="4867" width="14.7109375" customWidth="1"/>
    <col min="4868" max="4868" width="17.42578125" customWidth="1"/>
    <col min="5121" max="5121" width="19.42578125" bestFit="1" customWidth="1"/>
    <col min="5122" max="5122" width="15.42578125" customWidth="1"/>
    <col min="5123" max="5123" width="14.7109375" customWidth="1"/>
    <col min="5124" max="5124" width="17.42578125" customWidth="1"/>
    <col min="5377" max="5377" width="19.42578125" bestFit="1" customWidth="1"/>
    <col min="5378" max="5378" width="15.42578125" customWidth="1"/>
    <col min="5379" max="5379" width="14.7109375" customWidth="1"/>
    <col min="5380" max="5380" width="17.42578125" customWidth="1"/>
    <col min="5633" max="5633" width="19.42578125" bestFit="1" customWidth="1"/>
    <col min="5634" max="5634" width="15.42578125" customWidth="1"/>
    <col min="5635" max="5635" width="14.7109375" customWidth="1"/>
    <col min="5636" max="5636" width="17.42578125" customWidth="1"/>
    <col min="5889" max="5889" width="19.42578125" bestFit="1" customWidth="1"/>
    <col min="5890" max="5890" width="15.42578125" customWidth="1"/>
    <col min="5891" max="5891" width="14.7109375" customWidth="1"/>
    <col min="5892" max="5892" width="17.42578125" customWidth="1"/>
    <col min="6145" max="6145" width="19.42578125" bestFit="1" customWidth="1"/>
    <col min="6146" max="6146" width="15.42578125" customWidth="1"/>
    <col min="6147" max="6147" width="14.7109375" customWidth="1"/>
    <col min="6148" max="6148" width="17.42578125" customWidth="1"/>
    <col min="6401" max="6401" width="19.42578125" bestFit="1" customWidth="1"/>
    <col min="6402" max="6402" width="15.42578125" customWidth="1"/>
    <col min="6403" max="6403" width="14.7109375" customWidth="1"/>
    <col min="6404" max="6404" width="17.42578125" customWidth="1"/>
    <col min="6657" max="6657" width="19.42578125" bestFit="1" customWidth="1"/>
    <col min="6658" max="6658" width="15.42578125" customWidth="1"/>
    <col min="6659" max="6659" width="14.7109375" customWidth="1"/>
    <col min="6660" max="6660" width="17.42578125" customWidth="1"/>
    <col min="6913" max="6913" width="19.42578125" bestFit="1" customWidth="1"/>
    <col min="6914" max="6914" width="15.42578125" customWidth="1"/>
    <col min="6915" max="6915" width="14.7109375" customWidth="1"/>
    <col min="6916" max="6916" width="17.42578125" customWidth="1"/>
    <col min="7169" max="7169" width="19.42578125" bestFit="1" customWidth="1"/>
    <col min="7170" max="7170" width="15.42578125" customWidth="1"/>
    <col min="7171" max="7171" width="14.7109375" customWidth="1"/>
    <col min="7172" max="7172" width="17.42578125" customWidth="1"/>
    <col min="7425" max="7425" width="19.42578125" bestFit="1" customWidth="1"/>
    <col min="7426" max="7426" width="15.42578125" customWidth="1"/>
    <col min="7427" max="7427" width="14.7109375" customWidth="1"/>
    <col min="7428" max="7428" width="17.42578125" customWidth="1"/>
    <col min="7681" max="7681" width="19.42578125" bestFit="1" customWidth="1"/>
    <col min="7682" max="7682" width="15.42578125" customWidth="1"/>
    <col min="7683" max="7683" width="14.7109375" customWidth="1"/>
    <col min="7684" max="7684" width="17.42578125" customWidth="1"/>
    <col min="7937" max="7937" width="19.42578125" bestFit="1" customWidth="1"/>
    <col min="7938" max="7938" width="15.42578125" customWidth="1"/>
    <col min="7939" max="7939" width="14.7109375" customWidth="1"/>
    <col min="7940" max="7940" width="17.42578125" customWidth="1"/>
    <col min="8193" max="8193" width="19.42578125" bestFit="1" customWidth="1"/>
    <col min="8194" max="8194" width="15.42578125" customWidth="1"/>
    <col min="8195" max="8195" width="14.7109375" customWidth="1"/>
    <col min="8196" max="8196" width="17.42578125" customWidth="1"/>
    <col min="8449" max="8449" width="19.42578125" bestFit="1" customWidth="1"/>
    <col min="8450" max="8450" width="15.42578125" customWidth="1"/>
    <col min="8451" max="8451" width="14.7109375" customWidth="1"/>
    <col min="8452" max="8452" width="17.42578125" customWidth="1"/>
    <col min="8705" max="8705" width="19.42578125" bestFit="1" customWidth="1"/>
    <col min="8706" max="8706" width="15.42578125" customWidth="1"/>
    <col min="8707" max="8707" width="14.7109375" customWidth="1"/>
    <col min="8708" max="8708" width="17.42578125" customWidth="1"/>
    <col min="8961" max="8961" width="19.42578125" bestFit="1" customWidth="1"/>
    <col min="8962" max="8962" width="15.42578125" customWidth="1"/>
    <col min="8963" max="8963" width="14.7109375" customWidth="1"/>
    <col min="8964" max="8964" width="17.42578125" customWidth="1"/>
    <col min="9217" max="9217" width="19.42578125" bestFit="1" customWidth="1"/>
    <col min="9218" max="9218" width="15.42578125" customWidth="1"/>
    <col min="9219" max="9219" width="14.7109375" customWidth="1"/>
    <col min="9220" max="9220" width="17.42578125" customWidth="1"/>
    <col min="9473" max="9473" width="19.42578125" bestFit="1" customWidth="1"/>
    <col min="9474" max="9474" width="15.42578125" customWidth="1"/>
    <col min="9475" max="9475" width="14.7109375" customWidth="1"/>
    <col min="9476" max="9476" width="17.42578125" customWidth="1"/>
    <col min="9729" max="9729" width="19.42578125" bestFit="1" customWidth="1"/>
    <col min="9730" max="9730" width="15.42578125" customWidth="1"/>
    <col min="9731" max="9731" width="14.7109375" customWidth="1"/>
    <col min="9732" max="9732" width="17.42578125" customWidth="1"/>
    <col min="9985" max="9985" width="19.42578125" bestFit="1" customWidth="1"/>
    <col min="9986" max="9986" width="15.42578125" customWidth="1"/>
    <col min="9987" max="9987" width="14.7109375" customWidth="1"/>
    <col min="9988" max="9988" width="17.42578125" customWidth="1"/>
    <col min="10241" max="10241" width="19.42578125" bestFit="1" customWidth="1"/>
    <col min="10242" max="10242" width="15.42578125" customWidth="1"/>
    <col min="10243" max="10243" width="14.7109375" customWidth="1"/>
    <col min="10244" max="10244" width="17.42578125" customWidth="1"/>
    <col min="10497" max="10497" width="19.42578125" bestFit="1" customWidth="1"/>
    <col min="10498" max="10498" width="15.42578125" customWidth="1"/>
    <col min="10499" max="10499" width="14.7109375" customWidth="1"/>
    <col min="10500" max="10500" width="17.42578125" customWidth="1"/>
    <col min="10753" max="10753" width="19.42578125" bestFit="1" customWidth="1"/>
    <col min="10754" max="10754" width="15.42578125" customWidth="1"/>
    <col min="10755" max="10755" width="14.7109375" customWidth="1"/>
    <col min="10756" max="10756" width="17.42578125" customWidth="1"/>
    <col min="11009" max="11009" width="19.42578125" bestFit="1" customWidth="1"/>
    <col min="11010" max="11010" width="15.42578125" customWidth="1"/>
    <col min="11011" max="11011" width="14.7109375" customWidth="1"/>
    <col min="11012" max="11012" width="17.42578125" customWidth="1"/>
    <col min="11265" max="11265" width="19.42578125" bestFit="1" customWidth="1"/>
    <col min="11266" max="11266" width="15.42578125" customWidth="1"/>
    <col min="11267" max="11267" width="14.7109375" customWidth="1"/>
    <col min="11268" max="11268" width="17.42578125" customWidth="1"/>
    <col min="11521" max="11521" width="19.42578125" bestFit="1" customWidth="1"/>
    <col min="11522" max="11522" width="15.42578125" customWidth="1"/>
    <col min="11523" max="11523" width="14.7109375" customWidth="1"/>
    <col min="11524" max="11524" width="17.42578125" customWidth="1"/>
    <col min="11777" max="11777" width="19.42578125" bestFit="1" customWidth="1"/>
    <col min="11778" max="11778" width="15.42578125" customWidth="1"/>
    <col min="11779" max="11779" width="14.7109375" customWidth="1"/>
    <col min="11780" max="11780" width="17.42578125" customWidth="1"/>
    <col min="12033" max="12033" width="19.42578125" bestFit="1" customWidth="1"/>
    <col min="12034" max="12034" width="15.42578125" customWidth="1"/>
    <col min="12035" max="12035" width="14.7109375" customWidth="1"/>
    <col min="12036" max="12036" width="17.42578125" customWidth="1"/>
    <col min="12289" max="12289" width="19.42578125" bestFit="1" customWidth="1"/>
    <col min="12290" max="12290" width="15.42578125" customWidth="1"/>
    <col min="12291" max="12291" width="14.7109375" customWidth="1"/>
    <col min="12292" max="12292" width="17.42578125" customWidth="1"/>
    <col min="12545" max="12545" width="19.42578125" bestFit="1" customWidth="1"/>
    <col min="12546" max="12546" width="15.42578125" customWidth="1"/>
    <col min="12547" max="12547" width="14.7109375" customWidth="1"/>
    <col min="12548" max="12548" width="17.42578125" customWidth="1"/>
    <col min="12801" max="12801" width="19.42578125" bestFit="1" customWidth="1"/>
    <col min="12802" max="12802" width="15.42578125" customWidth="1"/>
    <col min="12803" max="12803" width="14.7109375" customWidth="1"/>
    <col min="12804" max="12804" width="17.42578125" customWidth="1"/>
    <col min="13057" max="13057" width="19.42578125" bestFit="1" customWidth="1"/>
    <col min="13058" max="13058" width="15.42578125" customWidth="1"/>
    <col min="13059" max="13059" width="14.7109375" customWidth="1"/>
    <col min="13060" max="13060" width="17.42578125" customWidth="1"/>
    <col min="13313" max="13313" width="19.42578125" bestFit="1" customWidth="1"/>
    <col min="13314" max="13314" width="15.42578125" customWidth="1"/>
    <col min="13315" max="13315" width="14.7109375" customWidth="1"/>
    <col min="13316" max="13316" width="17.42578125" customWidth="1"/>
    <col min="13569" max="13569" width="19.42578125" bestFit="1" customWidth="1"/>
    <col min="13570" max="13570" width="15.42578125" customWidth="1"/>
    <col min="13571" max="13571" width="14.7109375" customWidth="1"/>
    <col min="13572" max="13572" width="17.42578125" customWidth="1"/>
    <col min="13825" max="13825" width="19.42578125" bestFit="1" customWidth="1"/>
    <col min="13826" max="13826" width="15.42578125" customWidth="1"/>
    <col min="13827" max="13827" width="14.7109375" customWidth="1"/>
    <col min="13828" max="13828" width="17.42578125" customWidth="1"/>
    <col min="14081" max="14081" width="19.42578125" bestFit="1" customWidth="1"/>
    <col min="14082" max="14082" width="15.42578125" customWidth="1"/>
    <col min="14083" max="14083" width="14.7109375" customWidth="1"/>
    <col min="14084" max="14084" width="17.42578125" customWidth="1"/>
    <col min="14337" max="14337" width="19.42578125" bestFit="1" customWidth="1"/>
    <col min="14338" max="14338" width="15.42578125" customWidth="1"/>
    <col min="14339" max="14339" width="14.7109375" customWidth="1"/>
    <col min="14340" max="14340" width="17.42578125" customWidth="1"/>
    <col min="14593" max="14593" width="19.42578125" bestFit="1" customWidth="1"/>
    <col min="14594" max="14594" width="15.42578125" customWidth="1"/>
    <col min="14595" max="14595" width="14.7109375" customWidth="1"/>
    <col min="14596" max="14596" width="17.42578125" customWidth="1"/>
    <col min="14849" max="14849" width="19.42578125" bestFit="1" customWidth="1"/>
    <col min="14850" max="14850" width="15.42578125" customWidth="1"/>
    <col min="14851" max="14851" width="14.7109375" customWidth="1"/>
    <col min="14852" max="14852" width="17.42578125" customWidth="1"/>
    <col min="15105" max="15105" width="19.42578125" bestFit="1" customWidth="1"/>
    <col min="15106" max="15106" width="15.42578125" customWidth="1"/>
    <col min="15107" max="15107" width="14.7109375" customWidth="1"/>
    <col min="15108" max="15108" width="17.42578125" customWidth="1"/>
    <col min="15361" max="15361" width="19.42578125" bestFit="1" customWidth="1"/>
    <col min="15362" max="15362" width="15.42578125" customWidth="1"/>
    <col min="15363" max="15363" width="14.7109375" customWidth="1"/>
    <col min="15364" max="15364" width="17.42578125" customWidth="1"/>
    <col min="15617" max="15617" width="19.42578125" bestFit="1" customWidth="1"/>
    <col min="15618" max="15618" width="15.42578125" customWidth="1"/>
    <col min="15619" max="15619" width="14.7109375" customWidth="1"/>
    <col min="15620" max="15620" width="17.42578125" customWidth="1"/>
    <col min="15873" max="15873" width="19.42578125" bestFit="1" customWidth="1"/>
    <col min="15874" max="15874" width="15.42578125" customWidth="1"/>
    <col min="15875" max="15875" width="14.7109375" customWidth="1"/>
    <col min="15876" max="15876" width="17.42578125" customWidth="1"/>
    <col min="16129" max="16129" width="19.42578125" bestFit="1" customWidth="1"/>
    <col min="16130" max="16130" width="15.42578125" customWidth="1"/>
    <col min="16131" max="16131" width="14.7109375" customWidth="1"/>
    <col min="16132" max="16132" width="17.42578125" customWidth="1"/>
  </cols>
  <sheetData>
    <row r="1" spans="1:12" ht="15" x14ac:dyDescent="0.25">
      <c r="A1" s="134" t="s">
        <v>90</v>
      </c>
    </row>
    <row r="3" spans="1:12" ht="15" x14ac:dyDescent="0.25">
      <c r="A3" s="134" t="s">
        <v>91</v>
      </c>
      <c r="B3" s="142">
        <v>233.03963519999999</v>
      </c>
    </row>
    <row r="4" spans="1:12" x14ac:dyDescent="0.2">
      <c r="A4" s="135" t="s">
        <v>92</v>
      </c>
      <c r="B4" s="142">
        <v>234.0409521</v>
      </c>
    </row>
    <row r="5" spans="1:12" x14ac:dyDescent="0.2">
      <c r="A5" s="135" t="s">
        <v>93</v>
      </c>
      <c r="B5" s="142">
        <v>235.04392989999999</v>
      </c>
    </row>
    <row r="6" spans="1:12" x14ac:dyDescent="0.2">
      <c r="A6" s="135" t="s">
        <v>94</v>
      </c>
      <c r="B6" s="142">
        <v>236.045568</v>
      </c>
    </row>
    <row r="7" spans="1:12" x14ac:dyDescent="0.2">
      <c r="A7" s="135" t="s">
        <v>95</v>
      </c>
      <c r="B7" s="142">
        <v>238.0507882</v>
      </c>
    </row>
    <row r="8" spans="1:12" x14ac:dyDescent="0.2">
      <c r="A8" s="135"/>
      <c r="B8" s="142"/>
    </row>
    <row r="9" spans="1:12" x14ac:dyDescent="0.2">
      <c r="A9" s="135" t="s">
        <v>96</v>
      </c>
      <c r="B9" s="142">
        <v>229.03176199999999</v>
      </c>
    </row>
    <row r="10" spans="1:12" x14ac:dyDescent="0.2">
      <c r="A10" s="135" t="s">
        <v>97</v>
      </c>
      <c r="B10" s="142">
        <v>230.0331338</v>
      </c>
    </row>
    <row r="11" spans="1:12" x14ac:dyDescent="0.2">
      <c r="A11" s="135" t="s">
        <v>98</v>
      </c>
      <c r="B11" s="142">
        <v>232.0380553</v>
      </c>
      <c r="L11" s="136"/>
    </row>
    <row r="12" spans="1:12" x14ac:dyDescent="0.2">
      <c r="B12" s="141"/>
    </row>
    <row r="13" spans="1:12" x14ac:dyDescent="0.2">
      <c r="B13" s="141"/>
    </row>
    <row r="14" spans="1:12" ht="15" x14ac:dyDescent="0.25">
      <c r="A14" s="134" t="s">
        <v>99</v>
      </c>
      <c r="B14" s="141" t="s">
        <v>169</v>
      </c>
    </row>
    <row r="15" spans="1:12" x14ac:dyDescent="0.2">
      <c r="B15" s="141"/>
    </row>
    <row r="16" spans="1:12" ht="15" x14ac:dyDescent="0.25">
      <c r="A16" s="134" t="s">
        <v>100</v>
      </c>
      <c r="B16" s="142">
        <v>9.1704999999999997E-6</v>
      </c>
      <c r="G16" s="136"/>
    </row>
    <row r="17" spans="1:8" ht="15" x14ac:dyDescent="0.25">
      <c r="A17" s="134" t="s">
        <v>101</v>
      </c>
      <c r="B17" s="143">
        <v>2.8220599999999998E-6</v>
      </c>
      <c r="D17" s="142"/>
    </row>
    <row r="18" spans="1:8" ht="15" x14ac:dyDescent="0.25">
      <c r="A18" s="134" t="s">
        <v>102</v>
      </c>
      <c r="B18" s="143">
        <v>1.5512499999999999E-10</v>
      </c>
      <c r="H18" s="136"/>
    </row>
    <row r="19" spans="1:8" ht="15" x14ac:dyDescent="0.25">
      <c r="A19" s="137" t="s">
        <v>103</v>
      </c>
      <c r="B19" s="143">
        <v>4.9475200000000001E-11</v>
      </c>
    </row>
    <row r="20" spans="1:8" s="134" customFormat="1" ht="15" x14ac:dyDescent="0.25">
      <c r="A20" s="135"/>
    </row>
    <row r="21" spans="1:8" ht="15" x14ac:dyDescent="0.25">
      <c r="A21" s="134" t="s">
        <v>107</v>
      </c>
      <c r="B21" s="134" t="s">
        <v>104</v>
      </c>
      <c r="C21" s="134" t="s">
        <v>105</v>
      </c>
      <c r="D21" s="138" t="s">
        <v>106</v>
      </c>
    </row>
    <row r="22" spans="1:8" ht="15" x14ac:dyDescent="0.25">
      <c r="A22" s="134"/>
    </row>
    <row r="23" spans="1:8" ht="15" x14ac:dyDescent="0.25">
      <c r="A23" s="134" t="s">
        <v>108</v>
      </c>
      <c r="B23" s="193">
        <v>3.8677800000000002</v>
      </c>
      <c r="C23" s="194">
        <f>2*0.00065+C25</f>
        <v>1.3499999999999999E-3</v>
      </c>
      <c r="D23" s="195">
        <f>C23/B23</f>
        <v>3.4903743232552001E-4</v>
      </c>
      <c r="E23" s="196" t="s">
        <v>177</v>
      </c>
      <c r="H23" s="183"/>
    </row>
    <row r="24" spans="1:8" ht="15" x14ac:dyDescent="0.25">
      <c r="A24" s="134"/>
      <c r="B24" s="193"/>
      <c r="C24" s="184">
        <f>0.00004+C25</f>
        <v>9.0000000000000006E-5</v>
      </c>
      <c r="D24" s="192">
        <f>C24/B23</f>
        <v>2.326916215503467E-5</v>
      </c>
      <c r="E24" s="182" t="s">
        <v>180</v>
      </c>
      <c r="H24" s="183"/>
    </row>
    <row r="25" spans="1:8" ht="15" x14ac:dyDescent="0.25">
      <c r="A25" s="134"/>
      <c r="B25" s="139"/>
      <c r="C25" s="198">
        <v>5.0000000000000002E-5</v>
      </c>
      <c r="D25" s="199"/>
      <c r="E25" s="200" t="s">
        <v>173</v>
      </c>
    </row>
    <row r="26" spans="1:8" ht="15" x14ac:dyDescent="0.25">
      <c r="A26" s="134" t="s">
        <v>109</v>
      </c>
      <c r="B26" s="140">
        <v>3.8556E-2</v>
      </c>
      <c r="C26" s="197">
        <f>2*0.00001+C28</f>
        <v>2.5000000000000001E-5</v>
      </c>
      <c r="D26" s="195">
        <f>C26/B26</f>
        <v>6.4840751115260921E-4</v>
      </c>
      <c r="E26" s="196" t="s">
        <v>179</v>
      </c>
    </row>
    <row r="27" spans="1:8" ht="15" x14ac:dyDescent="0.25">
      <c r="A27" s="134"/>
      <c r="B27" s="140"/>
      <c r="C27" s="181">
        <f>0.0000004+C28</f>
        <v>5.4000000000000008E-6</v>
      </c>
      <c r="D27" s="192">
        <f>C27/B26</f>
        <v>1.400560224089636E-4</v>
      </c>
      <c r="E27" s="182" t="s">
        <v>180</v>
      </c>
    </row>
    <row r="28" spans="1:8" ht="15" x14ac:dyDescent="0.25">
      <c r="A28" s="134"/>
      <c r="B28" s="140"/>
      <c r="C28" s="201">
        <v>5.0000000000000004E-6</v>
      </c>
      <c r="D28" s="199"/>
      <c r="E28" s="200" t="s">
        <v>173</v>
      </c>
    </row>
    <row r="29" spans="1:8" ht="15" x14ac:dyDescent="0.25">
      <c r="A29" s="134" t="s">
        <v>172</v>
      </c>
      <c r="B29" s="202">
        <v>1.8067099999999999E-2</v>
      </c>
      <c r="C29" s="197">
        <f>2*0.0000613</f>
        <v>1.226E-4</v>
      </c>
      <c r="D29" s="195">
        <f>C29/B29</f>
        <v>6.7858151003758211E-3</v>
      </c>
      <c r="E29" s="196" t="s">
        <v>178</v>
      </c>
    </row>
    <row r="30" spans="1:8" ht="15" x14ac:dyDescent="0.25">
      <c r="A30" s="134"/>
      <c r="C30" s="181">
        <f>0.0000031</f>
        <v>3.1E-6</v>
      </c>
      <c r="D30" s="192">
        <f>C30/B29</f>
        <v>1.7158260041733316E-4</v>
      </c>
      <c r="E30" s="182" t="s">
        <v>180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Input</vt:lpstr>
      <vt:lpstr>Calc</vt:lpstr>
      <vt:lpstr>results</vt:lpstr>
      <vt:lpstr>Constants</vt:lpstr>
    </vt:vector>
  </TitlesOfParts>
  <Company>Akademie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</dc:creator>
  <cp:lastModifiedBy>Sophie Warken</cp:lastModifiedBy>
  <cp:lastPrinted>2009-07-14T11:56:15Z</cp:lastPrinted>
  <dcterms:created xsi:type="dcterms:W3CDTF">2003-07-28T11:40:39Z</dcterms:created>
  <dcterms:modified xsi:type="dcterms:W3CDTF">2021-01-13T14:03:21Z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3b97b238-2fdc-47ee-b555-c1ad6fe178da</vt:lpwstr>
  </property>
</Properties>
</file>